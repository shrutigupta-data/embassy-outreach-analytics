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870" documentId="11_E60897F41BE170836B02CE998F75CCDC64E183C8" xr6:coauthVersionLast="47" xr6:coauthVersionMax="47" xr10:uidLastSave="{7F878E0F-9506-4754-854A-780463B18A34}"/>
  <bookViews>
    <workbookView xWindow="240" yWindow="105" windowWidth="14805" windowHeight="8010" xr2:uid="{00000000-000D-0000-FFFF-FFFF00000000}"/>
  </bookViews>
  <sheets>
    <sheet name="Dashboard" sheetId="1" r:id="rId1"/>
    <sheet name="BackEnd Data" sheetId="4" r:id="rId2"/>
    <sheet name="Data Quality Review." sheetId="3" r:id="rId3"/>
  </sheets>
  <definedNames>
    <definedName name="_xlnm._FilterDatabase" localSheetId="1" hidden="1">'BackEnd Data'!$A$1:$P$1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3" i="1" l="1"/>
  <c r="T14" i="1"/>
  <c r="T15" i="1"/>
  <c r="I16" i="1"/>
  <c r="I17" i="1"/>
  <c r="T16" i="1"/>
  <c r="T12" i="1"/>
  <c r="T10" i="1"/>
  <c r="T11" i="1"/>
  <c r="P13" i="1"/>
  <c r="P12" i="1"/>
  <c r="K16" i="1"/>
  <c r="J16" i="1"/>
  <c r="L16" i="1" s="1"/>
  <c r="L15" i="1"/>
  <c r="L14" i="1"/>
  <c r="L13" i="1"/>
  <c r="L12" i="1"/>
  <c r="L11" i="1"/>
  <c r="L10" i="1"/>
  <c r="L17" i="1" s="1"/>
  <c r="K15" i="1"/>
  <c r="K14" i="1"/>
  <c r="K13" i="1"/>
  <c r="K12" i="1"/>
  <c r="K11" i="1"/>
  <c r="J11" i="1"/>
  <c r="K10" i="1"/>
  <c r="K17" i="1" s="1"/>
  <c r="J10" i="1"/>
  <c r="J15" i="1"/>
  <c r="J14" i="1"/>
  <c r="J13" i="1"/>
  <c r="J12" i="1"/>
  <c r="I10" i="1"/>
  <c r="C4" i="1" a="1"/>
  <c r="C4" i="1"/>
  <c r="P10" i="1"/>
  <c r="P11" i="1"/>
  <c r="I15" i="1"/>
  <c r="I14" i="1"/>
  <c r="I13" i="1"/>
  <c r="I12" i="1"/>
  <c r="I11" i="1"/>
  <c r="C12" i="1"/>
  <c r="C11" i="1"/>
  <c r="C16" i="1"/>
  <c r="C15" i="1"/>
  <c r="C14" i="1"/>
  <c r="C10" i="1"/>
  <c r="C13" i="1"/>
  <c r="D13" i="1" s="1"/>
  <c r="D18" i="1" l="1"/>
  <c r="J17" i="1"/>
  <c r="G4" i="1"/>
  <c r="K4" i="1"/>
  <c r="C18" i="1"/>
  <c r="D10" i="1"/>
  <c r="D14" i="1"/>
  <c r="D15" i="1"/>
  <c r="D16" i="1"/>
  <c r="D11" i="1"/>
  <c r="D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<sst xmlns="http://schemas.openxmlformats.org/spreadsheetml/2006/main" count="1623" uniqueCount="757">
  <si>
    <t>1. High-Level KPIs :</t>
  </si>
  <si>
    <t>TOTAL TRACKED EMBASSIES (Unique IDs)</t>
  </si>
  <si>
    <t>ACTIVE ENGAGEMENT RATE (Embassies classified as 'Engaged' or 'In Discussion')</t>
  </si>
  <si>
    <t>OUTREACH REQUIRING ACTION (Embassies classified as 'On Hold' or 'Not Started' or 'Meeting Scheduled')</t>
  </si>
  <si>
    <t>2. Outreach Status Distribution</t>
  </si>
  <si>
    <t>3. Regional Engagement Breakdown</t>
  </si>
  <si>
    <t>4. Engagement Level</t>
  </si>
  <si>
    <t>5. MANAGEMENT ATTENTION</t>
  </si>
  <si>
    <t>Outreach Status</t>
  </si>
  <si>
    <t>Count</t>
  </si>
  <si>
    <t>% Share</t>
  </si>
  <si>
    <t>Region</t>
  </si>
  <si>
    <t>Total Embassies</t>
  </si>
  <si>
    <t>Engaged</t>
  </si>
  <si>
    <t>In Discussion</t>
  </si>
  <si>
    <t>Active Engagement Rate</t>
  </si>
  <si>
    <t>Engagement Level</t>
  </si>
  <si>
    <t>Issue</t>
  </si>
  <si>
    <t>Records Requiring Attention</t>
  </si>
  <si>
    <t>Europe</t>
  </si>
  <si>
    <t>Low</t>
  </si>
  <si>
    <t>Missing Next Follow-up</t>
  </si>
  <si>
    <t>Initial Contact Made</t>
  </si>
  <si>
    <t>Sub-Saharan Africa</t>
  </si>
  <si>
    <t>Medium</t>
  </si>
  <si>
    <t>Missing Engagement Level</t>
  </si>
  <si>
    <t>Asia-Pacific</t>
  </si>
  <si>
    <t>High</t>
  </si>
  <si>
    <t>Missing Owner</t>
  </si>
  <si>
    <t>Meeting Scheduled</t>
  </si>
  <si>
    <t>America</t>
  </si>
  <si>
    <t>Unknown/Missing</t>
  </si>
  <si>
    <t>Missing Email</t>
  </si>
  <si>
    <t>On Hold</t>
  </si>
  <si>
    <t>Middle East &amp; North Africa</t>
  </si>
  <si>
    <t>Missing Phone</t>
  </si>
  <si>
    <t>Not Started</t>
  </si>
  <si>
    <t>South &amp; Central Asia</t>
  </si>
  <si>
    <t>Date / Data Consistency Issues</t>
  </si>
  <si>
    <t>Closed</t>
  </si>
  <si>
    <t>Invalid Interaction Count</t>
  </si>
  <si>
    <t>Total</t>
  </si>
  <si>
    <t>Embassy ID</t>
  </si>
  <si>
    <t>Country</t>
  </si>
  <si>
    <t>Contact Person</t>
  </si>
  <si>
    <t>Designation</t>
  </si>
  <si>
    <t>Email</t>
  </si>
  <si>
    <t>Phone</t>
  </si>
  <si>
    <t>Outreach Owner</t>
  </si>
  <si>
    <t>First Contact Date</t>
  </si>
  <si>
    <t>Last Contact Date</t>
  </si>
  <si>
    <t>Next Followup Date</t>
  </si>
  <si>
    <t>Interactions</t>
  </si>
  <si>
    <t>Channel</t>
  </si>
  <si>
    <t>Remarks</t>
  </si>
  <si>
    <t>EMB-001</t>
  </si>
  <si>
    <t>France</t>
  </si>
  <si>
    <t>Mei Schmidt</t>
  </si>
  <si>
    <t>Counsellor (Public Affairs)</t>
  </si>
  <si>
    <t>mei.schmidt@france.embassy.example</t>
  </si>
  <si>
    <t>+91 91399 86987</t>
  </si>
  <si>
    <t>Not started</t>
  </si>
  <si>
    <t>Neha Kulkarni</t>
  </si>
  <si>
    <t>Priority list - Q4</t>
  </si>
  <si>
    <t>EMB-002</t>
  </si>
  <si>
    <t>Germany</t>
  </si>
  <si>
    <t>Stefan Haddad</t>
  </si>
  <si>
    <t>Commercial Counsellor</t>
  </si>
  <si>
    <t>stefan.haddad@germany.embassy.example</t>
  </si>
  <si>
    <t>Priya Nair</t>
  </si>
  <si>
    <t>Intro call held</t>
  </si>
  <si>
    <t>EMB-003</t>
  </si>
  <si>
    <t>Italy</t>
  </si>
  <si>
    <t>Kwame Okafor</t>
  </si>
  <si>
    <t>kwame.okafor@italy.embassy.example</t>
  </si>
  <si>
    <t>+91 11 2698 7168</t>
  </si>
  <si>
    <t>Awaiting HQ approval</t>
  </si>
  <si>
    <t>EMB-004</t>
  </si>
  <si>
    <t>Spain</t>
  </si>
  <si>
    <t>Leila Bergstrom</t>
  </si>
  <si>
    <t>Protocol Officer</t>
  </si>
  <si>
    <t>leila.bergstrom@spain.embassy.example</t>
  </si>
  <si>
    <t>+91 11 3731 7784</t>
  </si>
  <si>
    <t>Sameer Khan</t>
  </si>
  <si>
    <t>Regular quarterly touchpoints</t>
  </si>
  <si>
    <t>EMB-005</t>
  </si>
  <si>
    <t>Portugal</t>
  </si>
  <si>
    <t>Omar Khalil</t>
  </si>
  <si>
    <t>omar.khalil@portugal.embassy.example</t>
  </si>
  <si>
    <t>+91 97876 80457</t>
  </si>
  <si>
    <t>Anita Deshmukh</t>
  </si>
  <si>
    <t>Official Letter</t>
  </si>
  <si>
    <t>Positive response</t>
  </si>
  <si>
    <t>EMB-006</t>
  </si>
  <si>
    <t>Netherlands</t>
  </si>
  <si>
    <t>Carla Alvarez</t>
  </si>
  <si>
    <t>carla.alvarez@netherlands.embassy.example</t>
  </si>
  <si>
    <t>+91 11 8193 3190</t>
  </si>
  <si>
    <t>Contact details to be verified</t>
  </si>
  <si>
    <t>EMB-007</t>
  </si>
  <si>
    <t>Belgium</t>
  </si>
  <si>
    <t>Amara Okafor</t>
  </si>
  <si>
    <t>amara.okafor@belgium.embassy.example</t>
  </si>
  <si>
    <t>+91 11 4997 2837</t>
  </si>
  <si>
    <t>Rahul Verma</t>
  </si>
  <si>
    <t>Event</t>
  </si>
  <si>
    <t>EMB-008</t>
  </si>
  <si>
    <t>Switzerland</t>
  </si>
  <si>
    <t>Elena Rossi</t>
  </si>
  <si>
    <t>elena.rossi@switzerland.embassy.example</t>
  </si>
  <si>
    <t>+91 11 4475 1779</t>
  </si>
  <si>
    <t>Meeting with Ambassador pending</t>
  </si>
  <si>
    <t>EMB-009</t>
  </si>
  <si>
    <t>Austria</t>
  </si>
  <si>
    <t>Amara Petrov</t>
  </si>
  <si>
    <t>Second Secretary</t>
  </si>
  <si>
    <t>+91 11 7028 3</t>
  </si>
  <si>
    <t>EMB-010</t>
  </si>
  <si>
    <t>Sweden</t>
  </si>
  <si>
    <t>Joao Garcia</t>
  </si>
  <si>
    <t>joao.garcia@sweden.embassy.example</t>
  </si>
  <si>
    <t>+91 96425 24776</t>
  </si>
  <si>
    <t>Awaiting acknowledgement</t>
  </si>
  <si>
    <t>EMB-011</t>
  </si>
  <si>
    <t>Norway</t>
  </si>
  <si>
    <t>Diego Mensah</t>
  </si>
  <si>
    <t>diego.mensah@norway.embassy.example</t>
  </si>
  <si>
    <t>+91 95258 98319</t>
  </si>
  <si>
    <t>Paused - elections</t>
  </si>
  <si>
    <t>EMB-012</t>
  </si>
  <si>
    <t>Denmark</t>
  </si>
  <si>
    <t>Mei Moreau</t>
  </si>
  <si>
    <t>First Secretary (Political)</t>
  </si>
  <si>
    <t>mei.moreau@denmark.embassy.example</t>
  </si>
  <si>
    <t>+91 11 8145 2441</t>
  </si>
  <si>
    <t>Date to be confirmed</t>
  </si>
  <si>
    <t>EMB-013</t>
  </si>
  <si>
    <t>Finland</t>
  </si>
  <si>
    <t>Stefan Petrov</t>
  </si>
  <si>
    <t>stefan.petrov@finland.embassy.example</t>
  </si>
  <si>
    <t>+91 11 5158 4645</t>
  </si>
  <si>
    <t>Arjun Mehta</t>
  </si>
  <si>
    <t>EMB-014</t>
  </si>
  <si>
    <t>Poland</t>
  </si>
  <si>
    <t>Aisha Tanaka</t>
  </si>
  <si>
    <t>Press &amp; Information Officer</t>
  </si>
  <si>
    <t>aisha.tanaka@poland.embassy.example</t>
  </si>
  <si>
    <t>+91 11 4940 6925</t>
  </si>
  <si>
    <t>EMB-015</t>
  </si>
  <si>
    <t>Czechia</t>
  </si>
  <si>
    <t>Sofia Larsen</t>
  </si>
  <si>
    <t>sofia.larsen@czechrepubli.embassy.example</t>
  </si>
  <si>
    <t>+91 99128 08458</t>
  </si>
  <si>
    <t>Reviewing MoU wording</t>
  </si>
  <si>
    <t>EMB-016</t>
  </si>
  <si>
    <t>Hungary</t>
  </si>
  <si>
    <t>Fatima Moreau</t>
  </si>
  <si>
    <t>Cultural Attache</t>
  </si>
  <si>
    <t>fatima.moreau@hungary.embassy.example</t>
  </si>
  <si>
    <t>Note verbale sent</t>
  </si>
  <si>
    <t>EMB-017</t>
  </si>
  <si>
    <t>Greece</t>
  </si>
  <si>
    <t>Omar Alvarez</t>
  </si>
  <si>
    <t>omar.alvarez@greece.embassy.example</t>
  </si>
  <si>
    <t>+91 11 2668 8281</t>
  </si>
  <si>
    <t>EMB-018</t>
  </si>
  <si>
    <t>Ireland</t>
  </si>
  <si>
    <t>Fatima Novak</t>
  </si>
  <si>
    <t>fatima.novak@ireland.embassy.example</t>
  </si>
  <si>
    <t>+91 11 6324 4845</t>
  </si>
  <si>
    <t>Draft proposal shared</t>
  </si>
  <si>
    <t>EMB-019</t>
  </si>
  <si>
    <t>UK</t>
  </si>
  <si>
    <t>Amara Rossi</t>
  </si>
  <si>
    <t>amara.rossi@unitedkingdo.embassy.example</t>
  </si>
  <si>
    <t>+91 91543 82993</t>
  </si>
  <si>
    <t>EMB-020</t>
  </si>
  <si>
    <t>Russian Federation</t>
  </si>
  <si>
    <t>carla.alvarez@russia.embassy.example</t>
  </si>
  <si>
    <t>+91 11 2174 4325</t>
  </si>
  <si>
    <t>EMB-021</t>
  </si>
  <si>
    <t>Japan</t>
  </si>
  <si>
    <t>Omar Larsen</t>
  </si>
  <si>
    <t>omar.larsen@japan.embassy.example</t>
  </si>
  <si>
    <t>+91 11 6264 5154</t>
  </si>
  <si>
    <t>Meeting</t>
  </si>
  <si>
    <t>EMB-022</t>
  </si>
  <si>
    <t>Korea (South)</t>
  </si>
  <si>
    <t>Sofia Silva</t>
  </si>
  <si>
    <t>sofia.silva@southkorea.embassy.example</t>
  </si>
  <si>
    <t>+91 97883 65506</t>
  </si>
  <si>
    <t>Embassy declined further participation</t>
  </si>
  <si>
    <t>EMB-023</t>
  </si>
  <si>
    <t>China</t>
  </si>
  <si>
    <t>fatima.moreau@china.embassy.example</t>
  </si>
  <si>
    <t>+91 11 3784 9518</t>
  </si>
  <si>
    <t>Active collaboration</t>
  </si>
  <si>
    <t>EMB-024</t>
  </si>
  <si>
    <t>Indonesia</t>
  </si>
  <si>
    <t>Andrei Tanaka</t>
  </si>
  <si>
    <t>andrei.tanaka@indonesia.embassy.example</t>
  </si>
  <si>
    <t>+91 11 7837 5555</t>
  </si>
  <si>
    <t>EMB-025</t>
  </si>
  <si>
    <t>Malaysia</t>
  </si>
  <si>
    <t>Nadia Tanaka</t>
  </si>
  <si>
    <t>nadia.tanaka@malaysia.embassy.example</t>
  </si>
  <si>
    <t>+91 91884 79</t>
  </si>
  <si>
    <t>EMB-026</t>
  </si>
  <si>
    <t>Singapore</t>
  </si>
  <si>
    <t>Omar Rossi</t>
  </si>
  <si>
    <t>omar.rossi@singapore.embassy.example</t>
  </si>
  <si>
    <t>+91 11 3688 2834</t>
  </si>
  <si>
    <t>Declined - policy restrictions</t>
  </si>
  <si>
    <t>EMB-027</t>
  </si>
  <si>
    <t>Thailand</t>
  </si>
  <si>
    <t>Diego Alvarez</t>
  </si>
  <si>
    <t>diego.alvarez@thailand.embassy.example</t>
  </si>
  <si>
    <t>+91 11 7044 2248</t>
  </si>
  <si>
    <t>Co-hosted event in Q2</t>
  </si>
  <si>
    <t>EMB-028</t>
  </si>
  <si>
    <t>Vietnam</t>
  </si>
  <si>
    <t>Diego Garcia</t>
  </si>
  <si>
    <t>diego.garcia@vietnam.embassy.example</t>
  </si>
  <si>
    <t>+91 11 4280 7001</t>
  </si>
  <si>
    <t>EMB-029</t>
  </si>
  <si>
    <t>Philippines</t>
  </si>
  <si>
    <t>Elena Mensah</t>
  </si>
  <si>
    <t>elena.mensah@philippines.embassy.example</t>
  </si>
  <si>
    <t>+91 11 8166 3233</t>
  </si>
  <si>
    <t>EMB-030</t>
  </si>
  <si>
    <t>Australia</t>
  </si>
  <si>
    <t>Pavel Petrov</t>
  </si>
  <si>
    <t>pavel.petrov@australia.embassy.example</t>
  </si>
  <si>
    <t>+91 11 2592 1236</t>
  </si>
  <si>
    <t>Embassy leadership change</t>
  </si>
  <si>
    <t>EMB-031</t>
  </si>
  <si>
    <t>New Zealand</t>
  </si>
  <si>
    <t>Kwame Yilmaz</t>
  </si>
  <si>
    <t>kwame.yilmaz@newzealand.embassy.example</t>
  </si>
  <si>
    <t>+91 11 7908 5417</t>
  </si>
  <si>
    <t>Venue finalised</t>
  </si>
  <si>
    <t>EMB-032</t>
  </si>
  <si>
    <t>Mongolia</t>
  </si>
  <si>
    <t>Elena Larsen</t>
  </si>
  <si>
    <t>elena.larsen@mongolia.embassy.example</t>
  </si>
  <si>
    <t>+91 92016 12840</t>
  </si>
  <si>
    <t>Exploring joint programme</t>
  </si>
  <si>
    <t>EMB-033</t>
  </si>
  <si>
    <t>Myanmar</t>
  </si>
  <si>
    <t>Stefan Mensah</t>
  </si>
  <si>
    <t>stefan.mensah@myanmar</t>
  </si>
  <si>
    <t>+91 11 8197 9678</t>
  </si>
  <si>
    <t>in discussion</t>
  </si>
  <si>
    <t>14/09/2026</t>
  </si>
  <si>
    <t>EMB-034</t>
  </si>
  <si>
    <t>Cambodia</t>
  </si>
  <si>
    <t>Mei Silva</t>
  </si>
  <si>
    <t>mei.silva@cambodia.embassy.example</t>
  </si>
  <si>
    <t>+91 11 8391 8276</t>
  </si>
  <si>
    <t>EMB-035</t>
  </si>
  <si>
    <t>UAE</t>
  </si>
  <si>
    <t>Leila Nguyen</t>
  </si>
  <si>
    <t>leila.nguyen@unitedarabem.embassy.example</t>
  </si>
  <si>
    <t>+91 11 5805 7803</t>
  </si>
  <si>
    <t>EMB-036</t>
  </si>
  <si>
    <t>Saudi Arabia</t>
  </si>
  <si>
    <t>Nadia Nguyen</t>
  </si>
  <si>
    <t>nadia.nguyen@saudiarabia.embassy.example</t>
  </si>
  <si>
    <t>+91 11 8085 3867</t>
  </si>
  <si>
    <t>EMB-037</t>
  </si>
  <si>
    <t>Qatar</t>
  </si>
  <si>
    <t>Carla Haddad</t>
  </si>
  <si>
    <t>carla.haddad@qatar.embassy.example</t>
  </si>
  <si>
    <t>+91 11 2298 3725</t>
  </si>
  <si>
    <t>EMB-038</t>
  </si>
  <si>
    <t>Kuwait</t>
  </si>
  <si>
    <t>Yuki Zhang</t>
  </si>
  <si>
    <t>yuki.zhang@kuwait.embassy.example</t>
  </si>
  <si>
    <t>+91 99992 48005</t>
  </si>
  <si>
    <t>EMB-039</t>
  </si>
  <si>
    <t>Oman</t>
  </si>
  <si>
    <t>amara.rossi@oman.embassy.example</t>
  </si>
  <si>
    <t>+91 11 2135 7164</t>
  </si>
  <si>
    <t>EMB-040</t>
  </si>
  <si>
    <t>Bahrain</t>
  </si>
  <si>
    <t>yuki.zhang@bahrain.embassy.example</t>
  </si>
  <si>
    <t>+91 95213 62958</t>
  </si>
  <si>
    <t>engaged</t>
  </si>
  <si>
    <t>EMB-041</t>
  </si>
  <si>
    <t>Iran</t>
  </si>
  <si>
    <t>diego.alvarez@iran.embassy.example</t>
  </si>
  <si>
    <t>EMB-042</t>
  </si>
  <si>
    <t>Iraq</t>
  </si>
  <si>
    <t>Stefan Okafor</t>
  </si>
  <si>
    <t>stefan.okafor@iraq.embassy.example</t>
  </si>
  <si>
    <t>+91 93896 50133</t>
  </si>
  <si>
    <t>EMB-043</t>
  </si>
  <si>
    <t>Israel</t>
  </si>
  <si>
    <t>Aisha Garcia</t>
  </si>
  <si>
    <t>aisha.garcia@israel.embassy.example</t>
  </si>
  <si>
    <t>+91 11 4011 5276</t>
  </si>
  <si>
    <t>EMB-044</t>
  </si>
  <si>
    <t>Jordan</t>
  </si>
  <si>
    <t>Andrei Larsen</t>
  </si>
  <si>
    <t>andrei.larsen@jordan.embassy.example</t>
  </si>
  <si>
    <t>Not a fit at this time</t>
  </si>
  <si>
    <t>EMB-045</t>
  </si>
  <si>
    <t>Egypt</t>
  </si>
  <si>
    <t>Fatima Garcia</t>
  </si>
  <si>
    <t>fatima.garcia@egypt.embassy.example</t>
  </si>
  <si>
    <t>+91-9351619945</t>
  </si>
  <si>
    <t>EMB-046</t>
  </si>
  <si>
    <t>Morocco</t>
  </si>
  <si>
    <t>Pavel Alvarez</t>
  </si>
  <si>
    <t>pavel.alvarez@morocco.embassy.example</t>
  </si>
  <si>
    <t>+91 11 4844 4193</t>
  </si>
  <si>
    <t>EMB-047</t>
  </si>
  <si>
    <t>Algeria</t>
  </si>
  <si>
    <t>carla.alvarez@algeria.embassy.example</t>
  </si>
  <si>
    <t>+91 11 5505 6547</t>
  </si>
  <si>
    <t>Joint working group formed</t>
  </si>
  <si>
    <t>EMB-048</t>
  </si>
  <si>
    <t>Turkey</t>
  </si>
  <si>
    <t>Omar Petrov</t>
  </si>
  <si>
    <t>+91 11 3205 9871</t>
  </si>
  <si>
    <t>Introductory email sent</t>
  </si>
  <si>
    <t>EMB-049</t>
  </si>
  <si>
    <t>South Africa</t>
  </si>
  <si>
    <t>Pavel Rossi</t>
  </si>
  <si>
    <t>pavel.rossi.southafrica.embassy.example</t>
  </si>
  <si>
    <t>+91 94658 73064</t>
  </si>
  <si>
    <t>EMB-050</t>
  </si>
  <si>
    <t>Nigeria</t>
  </si>
  <si>
    <t>Andrei Petrov</t>
  </si>
  <si>
    <t>andrei.petrov@nigeria.embassy.example</t>
  </si>
  <si>
    <t>+91 11 7789 2352</t>
  </si>
  <si>
    <t>EMB-051</t>
  </si>
  <si>
    <t>Kenya</t>
  </si>
  <si>
    <t>Joao Nguyen</t>
  </si>
  <si>
    <t>joao.nguyen@kenya.embassy.example</t>
  </si>
  <si>
    <t>+91 11 6137 8522</t>
  </si>
  <si>
    <t>EMB-052</t>
  </si>
  <si>
    <t>Ethiopia</t>
  </si>
  <si>
    <t>Yuki Khalil</t>
  </si>
  <si>
    <t>yuki.khalil@ethiopia.embassy.example</t>
  </si>
  <si>
    <t>EMB-053</t>
  </si>
  <si>
    <t>Ghana</t>
  </si>
  <si>
    <t>Omar Novak</t>
  </si>
  <si>
    <t>omar.novak@ghana.embassy.example</t>
  </si>
  <si>
    <t>EMB-054</t>
  </si>
  <si>
    <t>Tanzania</t>
  </si>
  <si>
    <t>Sofia Nguyen</t>
  </si>
  <si>
    <t>sofia.nguyen@tanzania.embassy.example</t>
  </si>
  <si>
    <t>+91 93059 77605</t>
  </si>
  <si>
    <t>EMB-055</t>
  </si>
  <si>
    <t>Uganda</t>
  </si>
  <si>
    <t>Tariq Sato</t>
  </si>
  <si>
    <t>tariq.sato@uganda.embassy.example</t>
  </si>
  <si>
    <t>+91 11 7514 1363</t>
  </si>
  <si>
    <t>EMB-056</t>
  </si>
  <si>
    <t>Zambia</t>
  </si>
  <si>
    <t>Ingrid Novak</t>
  </si>
  <si>
    <t>ingrid.novak@zambia.embassy.example</t>
  </si>
  <si>
    <t>+91 94668 63166</t>
  </si>
  <si>
    <t>meeting scheduled</t>
  </si>
  <si>
    <t>EMB-057</t>
  </si>
  <si>
    <t>Zimbabwe</t>
  </si>
  <si>
    <t>Chen Novak</t>
  </si>
  <si>
    <t>+91 97704 41047</t>
  </si>
  <si>
    <t>EMB-058</t>
  </si>
  <si>
    <t>Mozambique</t>
  </si>
  <si>
    <t>Chen Khalil</t>
  </si>
  <si>
    <t>chen.khalil@mozambique.embassy.example</t>
  </si>
  <si>
    <t>+91 94042 94747</t>
  </si>
  <si>
    <t>EMB-059</t>
  </si>
  <si>
    <t>Angola</t>
  </si>
  <si>
    <t>Elena Tanaka</t>
  </si>
  <si>
    <t>elena.tanaka@angola.embassy.example</t>
  </si>
  <si>
    <t>Senegal</t>
  </si>
  <si>
    <t>Stefan Larsen</t>
  </si>
  <si>
    <t>+91 11 3057 0304</t>
  </si>
  <si>
    <t>EMB-061</t>
  </si>
  <si>
    <t>Rwanda</t>
  </si>
  <si>
    <t>Marco Tanaka</t>
  </si>
  <si>
    <t>marco.tanaka@rwanda.embassy.example</t>
  </si>
  <si>
    <t>+91 90300 42637</t>
  </si>
  <si>
    <t>EMB-062</t>
  </si>
  <si>
    <t>Mauritius</t>
  </si>
  <si>
    <t>Tariq Rossi</t>
  </si>
  <si>
    <t>tariq.rossi@mauritius.embassy.example</t>
  </si>
  <si>
    <t>+91 97929 92398</t>
  </si>
  <si>
    <t>USA</t>
  </si>
  <si>
    <t>Aisha Novak</t>
  </si>
  <si>
    <t>aisha.novak.unitedstates.embassy.example</t>
  </si>
  <si>
    <t>EMB-064</t>
  </si>
  <si>
    <t>Canada</t>
  </si>
  <si>
    <t>diego.mensah@canada</t>
  </si>
  <si>
    <t>+91 11 3662 8290</t>
  </si>
  <si>
    <t>EMB-065</t>
  </si>
  <si>
    <t>Mexico</t>
  </si>
  <si>
    <t>Elena Costa</t>
  </si>
  <si>
    <t>elena.costa@mexico.embassy.example</t>
  </si>
  <si>
    <t>+91 95060 18</t>
  </si>
  <si>
    <t>EMB-066</t>
  </si>
  <si>
    <t>Brazil</t>
  </si>
  <si>
    <t>Amara Kim</t>
  </si>
  <si>
    <t>amara.kim.brazil.embassy.example</t>
  </si>
  <si>
    <t>+91 11 8276 0821</t>
  </si>
  <si>
    <t>EMB-067</t>
  </si>
  <si>
    <t>Argentina</t>
  </si>
  <si>
    <t>Sofia Petrov</t>
  </si>
  <si>
    <t>sofia.petrov.argentina.embassy.example</t>
  </si>
  <si>
    <t>+91 11 3746 5501</t>
  </si>
  <si>
    <t>EMB-068</t>
  </si>
  <si>
    <t>Chile</t>
  </si>
  <si>
    <t>Kwame Haddad</t>
  </si>
  <si>
    <t>kwame.haddad@chile.embassy.example</t>
  </si>
  <si>
    <t>+91 11 6509 8680</t>
  </si>
  <si>
    <t>EMB-069</t>
  </si>
  <si>
    <t>Colombia</t>
  </si>
  <si>
    <t>Aisha Haddad</t>
  </si>
  <si>
    <t>+91 11 3941 8341</t>
  </si>
  <si>
    <t>closed</t>
  </si>
  <si>
    <t>EMB-070</t>
  </si>
  <si>
    <t>Peru</t>
  </si>
  <si>
    <t>Mei Costa</t>
  </si>
  <si>
    <t>mei.costa@peru.embassy.example</t>
  </si>
  <si>
    <t>+91-9378776040</t>
  </si>
  <si>
    <t>EMB-071</t>
  </si>
  <si>
    <t>Cuba</t>
  </si>
  <si>
    <t>amara.kim@cuba.embassy.example</t>
  </si>
  <si>
    <t>+91 11 7766 0471</t>
  </si>
  <si>
    <t>24/07/2026</t>
  </si>
  <si>
    <t>EMB-072</t>
  </si>
  <si>
    <t>Venezuela</t>
  </si>
  <si>
    <t>Omar Schmidt</t>
  </si>
  <si>
    <t>omar.schmidt@venezuela.embassy.example</t>
  </si>
  <si>
    <t>+91 11 8926 8771</t>
  </si>
  <si>
    <t>EMB-073</t>
  </si>
  <si>
    <t>Ecuador</t>
  </si>
  <si>
    <t>Diego Rossi</t>
  </si>
  <si>
    <t>diego.rossi@ecuador.embassy.example</t>
  </si>
  <si>
    <t>+91 11 5896 5164</t>
  </si>
  <si>
    <t>EMB-074</t>
  </si>
  <si>
    <t>Guyana</t>
  </si>
  <si>
    <t>elena.rossi@guyana.embassy.example</t>
  </si>
  <si>
    <t>EMB-075</t>
  </si>
  <si>
    <t>Panama</t>
  </si>
  <si>
    <t>Hiroshi Hassan</t>
  </si>
  <si>
    <t>hiroshi.hassan@panama.embassy.example</t>
  </si>
  <si>
    <t>+91 96929 84427</t>
  </si>
  <si>
    <t>EMB-076</t>
  </si>
  <si>
    <t>Uruguay</t>
  </si>
  <si>
    <t>Pavel Larsen</t>
  </si>
  <si>
    <t>pavel.larsen@uruguay.embassy.example</t>
  </si>
  <si>
    <t>EMB-077</t>
  </si>
  <si>
    <t>Bangladesh</t>
  </si>
  <si>
    <t>Carla Hassan</t>
  </si>
  <si>
    <t>carla.hassan@bangladesh.embassy.example</t>
  </si>
  <si>
    <t>EMB-078</t>
  </si>
  <si>
    <t>Sri Lanka</t>
  </si>
  <si>
    <t>Fatima Kim</t>
  </si>
  <si>
    <t>fatima.kim@srilanka.embassy.example</t>
  </si>
  <si>
    <t>+91 11 7029 5292</t>
  </si>
  <si>
    <t>EMB-079</t>
  </si>
  <si>
    <t>Nepal</t>
  </si>
  <si>
    <t>Sofia Rossi</t>
  </si>
  <si>
    <t>+91 91145 94609</t>
  </si>
  <si>
    <t>EMB-080</t>
  </si>
  <si>
    <t>Bhutan</t>
  </si>
  <si>
    <t>Kwame Garcia</t>
  </si>
  <si>
    <t>kwame.garcia@bhutan.embassy.example</t>
  </si>
  <si>
    <t>+91 11 8083 7819</t>
  </si>
  <si>
    <t>EMB-081</t>
  </si>
  <si>
    <t>Maldives</t>
  </si>
  <si>
    <t>Pavel Costa</t>
  </si>
  <si>
    <t>+91 11 7210 2549</t>
  </si>
  <si>
    <t>EMB-082</t>
  </si>
  <si>
    <t>Kazakhstan</t>
  </si>
  <si>
    <t>Amara Alvarez</t>
  </si>
  <si>
    <t>amara.alvarez@kazakhstan.embassy.example</t>
  </si>
  <si>
    <t>+91 99516 85424</t>
  </si>
  <si>
    <t>16/09/2026</t>
  </si>
  <si>
    <t>EMB-083</t>
  </si>
  <si>
    <t>Uzbekistan</t>
  </si>
  <si>
    <t>Andrei Haddad</t>
  </si>
  <si>
    <t>andrei.haddad@uzbekistan.embassy.example</t>
  </si>
  <si>
    <t>+91-9634056135</t>
  </si>
  <si>
    <t>EMB-084</t>
  </si>
  <si>
    <t>Afghanistan</t>
  </si>
  <si>
    <t>Fatima Zhang</t>
  </si>
  <si>
    <t>fatima.zhang@afghanistan.embassy.example</t>
  </si>
  <si>
    <t>EMB-094</t>
  </si>
  <si>
    <t>Pedro Nguyen</t>
  </si>
  <si>
    <t>Duplicate entry? contact updated</t>
  </si>
  <si>
    <t>EMB-095</t>
  </si>
  <si>
    <t>Tariq Kim</t>
  </si>
  <si>
    <t>EMB-096</t>
  </si>
  <si>
    <t>Aisha Zhang</t>
  </si>
  <si>
    <t>Issue ID</t>
  </si>
  <si>
    <t>Category</t>
  </si>
  <si>
    <t>Excel Row(s)</t>
  </si>
  <si>
    <t>Field</t>
  </si>
  <si>
    <t>Current Value / Issue</t>
  </si>
  <si>
    <t>Severity</t>
  </si>
  <si>
    <t>Recommended Fix</t>
  </si>
  <si>
    <t>DQ001</t>
  </si>
  <si>
    <t>Blank</t>
  </si>
  <si>
    <t>Verify the correct Embassy ID from the source database and enter it</t>
  </si>
  <si>
    <t>DQ002</t>
  </si>
  <si>
    <t>DQ003</t>
  </si>
  <si>
    <t>Duplicate Record</t>
  </si>
  <si>
    <t>11, 87</t>
  </si>
  <si>
    <t>EMB-010 appears twice</t>
  </si>
  <si>
    <t>Verify both records, retain one canonical record and remove/merge the duplicate</t>
  </si>
  <si>
    <t>DQ004</t>
  </si>
  <si>
    <t>38, 89</t>
  </si>
  <si>
    <t>EMB-037 appears twice; Last Contact Date differs</t>
  </si>
  <si>
    <t>Verify the correct latest information, merge the records and remove the duplicate</t>
  </si>
  <si>
    <t>DQ005</t>
  </si>
  <si>
    <t>52, 88</t>
  </si>
  <si>
    <t>EMB-051 appears twice</t>
  </si>
  <si>
    <t>DQ006</t>
  </si>
  <si>
    <t>67, 86</t>
  </si>
  <si>
    <t>EMB-066 appears twice</t>
  </si>
  <si>
    <t>DQ007</t>
  </si>
  <si>
    <t>Country Formatting</t>
  </si>
  <si>
    <t>france</t>
  </si>
  <si>
    <t>Standardise to France</t>
  </si>
  <si>
    <t>DQ008</t>
  </si>
  <si>
    <t>Leading space before Germany</t>
  </si>
  <si>
    <t>Remove leading/trailing spaces</t>
  </si>
  <si>
    <t>DQ009</t>
  </si>
  <si>
    <t>Japan has trailing space</t>
  </si>
  <si>
    <t>DQ010</t>
  </si>
  <si>
    <t>Mexico has trailing space</t>
  </si>
  <si>
    <t>DQ011</t>
  </si>
  <si>
    <t>GHANA</t>
  </si>
  <si>
    <t>Standardise capitalisation to Ghana</t>
  </si>
  <si>
    <t>DQ012</t>
  </si>
  <si>
    <t>Region Missing</t>
  </si>
  <si>
    <t>Populate from the authoritative regional classification</t>
  </si>
  <si>
    <t>DQ013</t>
  </si>
  <si>
    <t>DQ014</t>
  </si>
  <si>
    <t>DQ015</t>
  </si>
  <si>
    <t>DQ016</t>
  </si>
  <si>
    <t>DQ017</t>
  </si>
  <si>
    <t>Region Inconsistency</t>
  </si>
  <si>
    <t>16, 19</t>
  </si>
  <si>
    <t>europe</t>
  </si>
  <si>
    <t>Standardise to Europe</t>
  </si>
  <si>
    <t>DQ018</t>
  </si>
  <si>
    <t>MENA</t>
  </si>
  <si>
    <t>Standardise to Middle East &amp; North Africa if that is the approved organisational label</t>
  </si>
  <si>
    <t>DQ019</t>
  </si>
  <si>
    <t>51, 53, 58</t>
  </si>
  <si>
    <t>Sub Saharan Africa</t>
  </si>
  <si>
    <t>Standardise to Sub-Saharan Africa if that is the approved organisational label</t>
  </si>
  <si>
    <t>DQ020</t>
  </si>
  <si>
    <t>65, 70</t>
  </si>
  <si>
    <t>N. America</t>
  </si>
  <si>
    <t>Standardise to the approved regional label, e.g. Americas</t>
  </si>
  <si>
    <t>DQ021</t>
  </si>
  <si>
    <t>Region Classification</t>
  </si>
  <si>
    <t>Egypt classified as Sub-Saharan Africa</t>
  </si>
  <si>
    <t>Verify against the organisation's official regional classification</t>
  </si>
  <si>
    <t>DQ022</t>
  </si>
  <si>
    <t>Kazakhstan classified as Asia-Pacific</t>
  </si>
  <si>
    <t>DQ023</t>
  </si>
  <si>
    <t>Contact Name Formatting</t>
  </si>
  <si>
    <t>Leading/trailing spaces around Nadia Tanaka</t>
  </si>
  <si>
    <t>Apply TRIM/cleaning and remove extra spaces</t>
  </si>
  <si>
    <t>DQ024</t>
  </si>
  <si>
    <t>Leading/trailing spaces around Chen Khalil</t>
  </si>
  <si>
    <t>DQ025</t>
  </si>
  <si>
    <t>Leading/trailing spaces around Diego Mensah</t>
  </si>
  <si>
    <t>DQ026</t>
  </si>
  <si>
    <t>Leading/trailing spaces around Amara Kim</t>
  </si>
  <si>
    <t>DQ027</t>
  </si>
  <si>
    <t>Leading/trailing spaces around Amara Alvarez</t>
  </si>
  <si>
    <t>DQ028</t>
  </si>
  <si>
    <t>DQ029</t>
  </si>
  <si>
    <t>10, 25, 35, 40, 52, 60, 64, 68, 88</t>
  </si>
  <si>
    <t>Owner</t>
  </si>
  <si>
    <t>Assign the correct owner from the authorised owner/source list; do not guess</t>
  </si>
  <si>
    <t>DQ030</t>
  </si>
  <si>
    <t>10, 49, 58, 61, 70, 80, 82</t>
  </si>
  <si>
    <t>Recover the correct email from the authoritative source</t>
  </si>
  <si>
    <t>DQ031</t>
  </si>
  <si>
    <t>Invalid Email</t>
  </si>
  <si>
    <t>Verify and enter the complete valid email address</t>
  </si>
  <si>
    <t>DQ032</t>
  </si>
  <si>
    <t>Correct the missing @/email structure using the source record</t>
  </si>
  <si>
    <t>DQ033</t>
  </si>
  <si>
    <t>DQ034</t>
  </si>
  <si>
    <t>DQ035</t>
  </si>
  <si>
    <t>DQ036</t>
  </si>
  <si>
    <t>DQ037</t>
  </si>
  <si>
    <t>DQ038</t>
  </si>
  <si>
    <t>Suspicious Email Domain</t>
  </si>
  <si>
    <t>Various</t>
  </si>
  <si>
    <t>Country Embassy Email Domain</t>
  </si>
  <si>
    <t>Several domains appear truncated, including czechrepubli, unitedkingdo and unitedarabem</t>
  </si>
  <si>
    <t>Verify domains against the authoritative contact list rather than guessing</t>
  </si>
  <si>
    <t>DQ039</t>
  </si>
  <si>
    <t>17, 53, 60, 64, 75, 77, 78, 85</t>
  </si>
  <si>
    <t>Recover the correct phone number from the authoritative source</t>
  </si>
  <si>
    <t>DQ040</t>
  </si>
  <si>
    <t>Invalid Phone</t>
  </si>
  <si>
    <t>Verify and enter the complete phone number</t>
  </si>
  <si>
    <t>DQ041</t>
  </si>
  <si>
    <t>DQ042</t>
  </si>
  <si>
    <t>Phone Formatting</t>
  </si>
  <si>
    <t>Verify the number and standardise it to the approved international format</t>
  </si>
  <si>
    <t>DQ043</t>
  </si>
  <si>
    <t>DQ044</t>
  </si>
  <si>
    <t>DQ045</t>
  </si>
  <si>
    <t>DQ046</t>
  </si>
  <si>
    <t>Status Inconsistency</t>
  </si>
  <si>
    <t>7, 10</t>
  </si>
  <si>
    <t>Status</t>
  </si>
  <si>
    <t>Not Started variants include not started with extra spaces</t>
  </si>
  <si>
    <t>Standardise all variants to Not Started</t>
  </si>
  <si>
    <t>DQ047</t>
  </si>
  <si>
    <t>17, 25, 26, 39, 49, 58, 67, 69, 71, 73, 78, 81, 84, 86</t>
  </si>
  <si>
    <t>Initial Contact</t>
  </si>
  <si>
    <t>Standardise to Initial Contact Made</t>
  </si>
  <si>
    <t>DQ048</t>
  </si>
  <si>
    <t>On hold</t>
  </si>
  <si>
    <t>Standardise to On Hold</t>
  </si>
  <si>
    <t>DQ049</t>
  </si>
  <si>
    <t>36, 42, 56</t>
  </si>
  <si>
    <t>Hold</t>
  </si>
  <si>
    <t>DQ050</t>
  </si>
  <si>
    <t>Standardise to In Discussion</t>
  </si>
  <si>
    <t>DQ051</t>
  </si>
  <si>
    <t>Standardise to Engaged</t>
  </si>
  <si>
    <t>DQ052</t>
  </si>
  <si>
    <t>57, 68</t>
  </si>
  <si>
    <t>Standardise to Meeting Scheduled</t>
  </si>
  <si>
    <t>DQ053</t>
  </si>
  <si>
    <t>Standardise to Closed</t>
  </si>
  <si>
    <t>DQ054</t>
  </si>
  <si>
    <t>Date Format</t>
  </si>
  <si>
    <t>Date stored as text / inconsistent format</t>
  </si>
  <si>
    <t>Convert to a real Excel date and standardise display format to dd-mmm-yyyy</t>
  </si>
  <si>
    <t>DQ055</t>
  </si>
  <si>
    <t>Next Follow-up Date</t>
  </si>
  <si>
    <t>DQ056</t>
  </si>
  <si>
    <t>DQ057</t>
  </si>
  <si>
    <t>DQ058</t>
  </si>
  <si>
    <t>DQ059</t>
  </si>
  <si>
    <t>DQ060</t>
  </si>
  <si>
    <t>DQ061</t>
  </si>
  <si>
    <t>DQ062</t>
  </si>
  <si>
    <t>Date Logic</t>
  </si>
  <si>
    <t>Last Contact / Next Follow-up</t>
  </si>
  <si>
    <t>Last Contact = 06-Nov-2026; Next Follow-up = 13-Oct-2026</t>
  </si>
  <si>
    <t>Verify dates; normally Next Follow-up should not precede Last Contact</t>
  </si>
  <si>
    <t>DQ063</t>
  </si>
  <si>
    <t>First Contact / Last Contact</t>
  </si>
  <si>
    <t>First Contact = 01-Aug-2026; Last Contact = 26-Dec-2025</t>
  </si>
  <si>
    <t>Verify and correct the inconsistent contact dates</t>
  </si>
  <si>
    <t>DQ064</t>
  </si>
  <si>
    <t>First Contact / Last Contact / Next Follow-up</t>
  </si>
  <si>
    <t>First Contact = 27-Sep-2026; Last Contact = 09-Nov-2025; Next Follow-up = 25-Sep-2026</t>
  </si>
  <si>
    <t>Verify all three dates against the source</t>
  </si>
  <si>
    <t>DQ065</t>
  </si>
  <si>
    <t>First Contact = 23-Sep-2026; Last Contact = 21-Aug-2025</t>
  </si>
  <si>
    <t>DQ066</t>
  </si>
  <si>
    <t>Last Contact = 01-Jan-2027; Next Follow-up = 18-Oct-2026</t>
  </si>
  <si>
    <t>Verify dates; a follow-up should not normally precede the last contact</t>
  </si>
  <si>
    <t>DQ067</t>
  </si>
  <si>
    <t>First Contact = 19-Oct-2026; Last Contact = 09-Jul-2025</t>
  </si>
  <si>
    <t>DQ068</t>
  </si>
  <si>
    <t>DQ069</t>
  </si>
  <si>
    <t>Future Date</t>
  </si>
  <si>
    <t>27-Dec-2026 is after assessment date</t>
  </si>
  <si>
    <t>Verify whether this is a future/scheduled date entered in the wrong field</t>
  </si>
  <si>
    <t>DQ070</t>
  </si>
  <si>
    <t>06-Nov-2026 is after assessment date</t>
  </si>
  <si>
    <t>DQ071</t>
  </si>
  <si>
    <t>01-Jan-2027 is after assessment date</t>
  </si>
  <si>
    <t>DQ072</t>
  </si>
  <si>
    <t>Missing Interactions</t>
  </si>
  <si>
    <t>8, 9, 47, 50, 69, 78</t>
  </si>
  <si>
    <t>Recover actual interaction count or explicitly mark as unknown</t>
  </si>
  <si>
    <t>DQ073</t>
  </si>
  <si>
    <t>Invalid Numeric Value</t>
  </si>
  <si>
    <t>Replace with verified non-negative interaction count; do not assume it is 0</t>
  </si>
  <si>
    <t>DQ074</t>
  </si>
  <si>
    <t>Status/Activity Conflict</t>
  </si>
  <si>
    <t>Status / Interactions / Last Contact</t>
  </si>
  <si>
    <t>Not Started but 2 interactions and a Last Contact Date exist</t>
  </si>
  <si>
    <t>Verify whether status or activity fields are incorrect</t>
  </si>
  <si>
    <t>DQ075</t>
  </si>
  <si>
    <t>Not Started but 1 interaction and a Last Contact Date exist</t>
  </si>
  <si>
    <t>DQ076</t>
  </si>
  <si>
    <t>Not Started but 3 interactions and a Last Contact Date exist</t>
  </si>
  <si>
    <t>DQ077</t>
  </si>
  <si>
    <t>Status/Engagement Conflict</t>
  </si>
  <si>
    <t>Status / Interactions / Remarks</t>
  </si>
  <si>
    <t>Engaged, 0 interactions, remarks say embassy declined further participation</t>
  </si>
  <si>
    <t>Verify outreach outcome and update status/interaction fields accordingly</t>
  </si>
  <si>
    <t>DQ078</t>
  </si>
  <si>
    <t>Status/Remarks Conflict</t>
  </si>
  <si>
    <t>Status / Remarks</t>
  </si>
  <si>
    <t>In Discussion but remarks say embassy declined further participation</t>
  </si>
  <si>
    <t>Verify whether outreach should be marked Closed</t>
  </si>
  <si>
    <t>DQ079</t>
  </si>
  <si>
    <t>Engaged but remarks say embassy declined further participation</t>
  </si>
  <si>
    <t>DQ080</t>
  </si>
  <si>
    <t>Activity/Interaction Conflict</t>
  </si>
  <si>
    <t>Engaged, 0 interactions, remarks say Joint working group formed</t>
  </si>
  <si>
    <t>Verify the interaction count and update it if activity actually occurred</t>
  </si>
  <si>
    <t>DQ081</t>
  </si>
  <si>
    <t>Engaged, 0 interactions, remarks say Co-hosted event in Q2</t>
  </si>
  <si>
    <t>DQ082</t>
  </si>
  <si>
    <t>2, 4, 7, 9, 10, 18, 23, 29, 32, 40, 42, 52, 60, 61, 66, 75, 76, 77, 81, 85, 88, 90</t>
  </si>
  <si>
    <t>Populate from source/defined business rule; do not guess</t>
  </si>
  <si>
    <t>DQ083</t>
  </si>
  <si>
    <t>Missing Channel</t>
  </si>
  <si>
    <t>Multiple</t>
  </si>
  <si>
    <t>11 records have blank Channel values</t>
  </si>
  <si>
    <t>Recover outreach channel from the source or mark as unknown</t>
  </si>
  <si>
    <t>DQ084</t>
  </si>
  <si>
    <t>Missing Remarks</t>
  </si>
  <si>
    <t>3 records have blank Remarks</t>
  </si>
  <si>
    <t>Populate from source where available; otherwise leave blank/Unknown with documentation</t>
  </si>
  <si>
    <t>DQ085</t>
  </si>
  <si>
    <t>Potential Duplicate Update</t>
  </si>
  <si>
    <t>66, 90</t>
  </si>
  <si>
    <t>Embassy/Contact details</t>
  </si>
  <si>
    <t>Mexico records appear to represent an original record and a contact update</t>
  </si>
  <si>
    <t>Compare records, retain the latest verified contact details and merge into one canonical record</t>
  </si>
  <si>
    <t>DQ086</t>
  </si>
  <si>
    <t>27, 91</t>
  </si>
  <si>
    <t>Singapore records appear to represent an original record and a contact update</t>
  </si>
  <si>
    <t>DQ087</t>
  </si>
  <si>
    <t>54, 92</t>
  </si>
  <si>
    <t>Ghana records appear to represent an original record and a contact update</t>
  </si>
  <si>
    <t>DQ088</t>
  </si>
  <si>
    <t>Standardisation</t>
  </si>
  <si>
    <t>All records</t>
  </si>
  <si>
    <t>Country / Region / Status / Phone / Email / Dates</t>
  </si>
  <si>
    <t>Multiple formats and naming conventions throughout the database</t>
  </si>
  <si>
    <t>Apply controlled lists, standard formats, validation rules and consistent date/phone/email formatting</t>
  </si>
  <si>
    <t>DQ089</t>
  </si>
  <si>
    <t>Control / Validation</t>
  </si>
  <si>
    <t>Data Entry</t>
  </si>
  <si>
    <t>Free-text fields permit inconsistent spelling, spaces and status variants</t>
  </si>
  <si>
    <t>Add Excel Data Validation dropdowns and cleaning rules for controlled fields</t>
  </si>
  <si>
    <t>DQ090</t>
  </si>
  <si>
    <t>Auditability</t>
  </si>
  <si>
    <t>Data Quality</t>
  </si>
  <si>
    <t>Process</t>
  </si>
  <si>
    <t>Corrections are difficult to distinguish from original raw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</si>
</sst>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Google Sans Text"/>
      <family val="2"/>
      <charset val="1"/>
    </font>
    <font>
      <b/>
      <sz val="11"/>
      <color rgb="FFFFFFFF"/>
      <name val="Arial"/>
      <charset val="1"/>
    </font>
    <font>
      <sz val="11"/>
      <color theme="1"/>
      <name val="Calibri"/>
      <charset val="1"/>
    </font>
    <font>
      <sz val="10"/>
      <color theme="1"/>
      <name val="Arial"/>
      <charset val="1"/>
    </font>
    <font>
      <b/>
      <sz val="11"/>
      <color rgb="FFFF0000"/>
      <name val="Calibri"/>
      <scheme val="minor"/>
    </font>
    <font>
      <b/>
      <sz val="11"/>
      <color rgb="FF1F1F1F"/>
      <name val="Times New Roman"/>
    </font>
    <font>
      <sz val="11"/>
      <color theme="1"/>
      <name val="Times New Roman"/>
    </font>
    <font>
      <sz val="11"/>
      <color rgb="FF1F1F1F"/>
      <name val="Times New Roman"/>
    </font>
    <font>
      <b/>
      <sz val="11"/>
      <color theme="1"/>
      <name val="Times New Roman"/>
    </font>
    <font>
      <b/>
      <sz val="9"/>
      <color rgb="FF595959"/>
      <name val="Times New Roman"/>
    </font>
    <font>
      <b/>
      <sz val="20"/>
      <color rgb="FF1F497D"/>
      <name val="Times New Roman"/>
    </font>
    <font>
      <b/>
      <sz val="20"/>
      <color rgb="FF1E6B20"/>
      <name val="Times New Roman"/>
    </font>
    <font>
      <b/>
      <sz val="20"/>
      <color rgb="FFC00000"/>
      <name val="Times New Roman"/>
    </font>
    <font>
      <b/>
      <sz val="11"/>
      <color rgb="FF242424"/>
      <name val="Times New Roman"/>
    </font>
    <font>
      <b/>
      <sz val="11"/>
      <color rgb="FF000000"/>
      <name val="Times New Roman"/>
    </font>
    <font>
      <b/>
      <sz val="28"/>
      <color rgb="FF7030A0"/>
      <name val="Times New Roman"/>
    </font>
    <font>
      <sz val="28"/>
      <color rgb="FF7030A0"/>
      <name val="Times New Roman"/>
    </font>
    <font>
      <b/>
      <sz val="10"/>
      <color rgb="FF595959"/>
      <name val="Times New Roman"/>
    </font>
    <font>
      <sz val="11"/>
      <color rgb="FFFF0000"/>
      <name val="Times New Roman"/>
    </font>
    <font>
      <b/>
      <sz val="11"/>
      <color rgb="FFC00000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2CCFC"/>
        <bgColor indexed="64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3" fillId="0" borderId="0" xfId="0" applyFont="1"/>
    <xf numFmtId="0" fontId="2" fillId="0" borderId="1" xfId="0" applyFont="1" applyBorder="1"/>
    <xf numFmtId="14" fontId="0" fillId="0" borderId="0" xfId="0" applyNumberFormat="1"/>
    <xf numFmtId="0" fontId="0" fillId="0" borderId="1" xfId="0" applyBorder="1"/>
    <xf numFmtId="0" fontId="4" fillId="0" borderId="1" xfId="0" applyFont="1" applyBorder="1"/>
    <xf numFmtId="0" fontId="3" fillId="0" borderId="1" xfId="0" applyFont="1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8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quotePrefix="1" applyFont="1" applyBorder="1"/>
    <xf numFmtId="0" fontId="9" fillId="0" borderId="4" xfId="0" applyFont="1" applyBorder="1"/>
    <xf numFmtId="0" fontId="11" fillId="0" borderId="5" xfId="0" applyFont="1" applyBorder="1"/>
    <xf numFmtId="0" fontId="11" fillId="0" borderId="6" xfId="0" applyFont="1" applyBorder="1"/>
    <xf numFmtId="0" fontId="12" fillId="0" borderId="7" xfId="0" applyFont="1" applyBorder="1" applyAlignment="1">
      <alignment horizontal="right"/>
    </xf>
    <xf numFmtId="0" fontId="10" fillId="0" borderId="8" xfId="0" applyFont="1" applyBorder="1"/>
    <xf numFmtId="0" fontId="10" fillId="0" borderId="9" xfId="0" applyFont="1" applyBorder="1"/>
    <xf numFmtId="0" fontId="12" fillId="0" borderId="0" xfId="0" applyFont="1" applyAlignment="1"/>
    <xf numFmtId="0" fontId="10" fillId="0" borderId="0" xfId="0" applyFont="1"/>
    <xf numFmtId="0" fontId="13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0" fillId="0" borderId="0" xfId="0" applyFont="1" applyFill="1" applyBorder="1"/>
    <xf numFmtId="0" fontId="9" fillId="0" borderId="1" xfId="0" applyFont="1" applyBorder="1" applyAlignment="1">
      <alignment readingOrder="1"/>
    </xf>
    <xf numFmtId="0" fontId="9" fillId="0" borderId="0" xfId="0" applyFont="1" applyBorder="1" applyAlignment="1">
      <alignment readingOrder="1"/>
    </xf>
    <xf numFmtId="0" fontId="11" fillId="0" borderId="2" xfId="0" applyFont="1" applyBorder="1" applyAlignment="1">
      <alignment readingOrder="1"/>
    </xf>
    <xf numFmtId="0" fontId="11" fillId="0" borderId="0" xfId="0" applyFont="1" applyBorder="1" applyAlignment="1">
      <alignment readingOrder="1"/>
    </xf>
    <xf numFmtId="0" fontId="11" fillId="0" borderId="1" xfId="0" applyFont="1" applyBorder="1" applyAlignment="1">
      <alignment readingOrder="1"/>
    </xf>
    <xf numFmtId="0" fontId="11" fillId="0" borderId="0" xfId="0" applyFont="1" applyFill="1" applyBorder="1" applyAlignment="1">
      <alignment readingOrder="1"/>
    </xf>
    <xf numFmtId="0" fontId="18" fillId="0" borderId="0" xfId="0" applyFont="1" applyAlignment="1"/>
    <xf numFmtId="0" fontId="1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1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18" fillId="0" borderId="0" xfId="0" applyFont="1" applyBorder="1" applyAlignment="1">
      <alignment horizontal="center"/>
    </xf>
    <xf numFmtId="164" fontId="15" fillId="3" borderId="1" xfId="0" applyNumberFormat="1" applyFont="1" applyFill="1" applyBorder="1" applyAlignment="1">
      <alignment horizontal="center" vertical="center"/>
    </xf>
    <xf numFmtId="164" fontId="15" fillId="0" borderId="0" xfId="0" applyNumberFormat="1" applyFont="1" applyFill="1" applyBorder="1" applyAlignment="1">
      <alignment horizontal="center" vertical="center"/>
    </xf>
    <xf numFmtId="0" fontId="11" fillId="0" borderId="8" xfId="0" applyNumberFormat="1" applyFont="1" applyBorder="1" applyAlignment="1">
      <alignment readingOrder="1"/>
    </xf>
    <xf numFmtId="0" fontId="11" fillId="0" borderId="9" xfId="0" applyNumberFormat="1" applyFont="1" applyBorder="1" applyAlignment="1">
      <alignment readingOrder="1"/>
    </xf>
    <xf numFmtId="0" fontId="9" fillId="0" borderId="9" xfId="0" applyFont="1" applyBorder="1" applyAlignment="1">
      <alignment readingOrder="1"/>
    </xf>
    <xf numFmtId="0" fontId="9" fillId="0" borderId="3" xfId="0" applyFont="1" applyBorder="1" applyAlignment="1">
      <alignment readingOrder="1"/>
    </xf>
    <xf numFmtId="0" fontId="11" fillId="5" borderId="9" xfId="0" applyFont="1" applyFill="1" applyBorder="1" applyAlignment="1">
      <alignment readingOrder="1"/>
    </xf>
    <xf numFmtId="0" fontId="11" fillId="5" borderId="9" xfId="0" applyNumberFormat="1" applyFont="1" applyFill="1" applyBorder="1" applyAlignment="1">
      <alignment readingOrder="1"/>
    </xf>
    <xf numFmtId="0" fontId="11" fillId="5" borderId="3" xfId="0" applyNumberFormat="1" applyFont="1" applyFill="1" applyBorder="1" applyAlignment="1">
      <alignment readingOrder="1"/>
    </xf>
    <xf numFmtId="0" fontId="11" fillId="0" borderId="9" xfId="0" applyFont="1" applyBorder="1" applyAlignment="1">
      <alignment readingOrder="1"/>
    </xf>
    <xf numFmtId="2" fontId="11" fillId="5" borderId="3" xfId="0" applyNumberFormat="1" applyFont="1" applyFill="1" applyBorder="1" applyAlignment="1">
      <alignment readingOrder="1"/>
    </xf>
    <xf numFmtId="2" fontId="11" fillId="0" borderId="3" xfId="0" applyNumberFormat="1" applyFont="1" applyBorder="1" applyAlignment="1">
      <alignment readingOrder="1"/>
    </xf>
    <xf numFmtId="2" fontId="11" fillId="0" borderId="1" xfId="0" applyNumberFormat="1" applyFont="1" applyBorder="1" applyAlignment="1">
      <alignment readingOrder="1"/>
    </xf>
    <xf numFmtId="0" fontId="9" fillId="0" borderId="8" xfId="0" applyFont="1" applyBorder="1" applyAlignment="1">
      <alignment readingOrder="1"/>
    </xf>
    <xf numFmtId="0" fontId="10" fillId="0" borderId="9" xfId="0" applyFont="1" applyFill="1" applyBorder="1" applyAlignment="1">
      <alignment readingOrder="1"/>
    </xf>
    <xf numFmtId="9" fontId="11" fillId="0" borderId="2" xfId="0" applyNumberFormat="1" applyFont="1" applyBorder="1" applyAlignment="1">
      <alignment readingOrder="1"/>
    </xf>
    <xf numFmtId="9" fontId="11" fillId="0" borderId="1" xfId="0" applyNumberFormat="1" applyFont="1" applyBorder="1" applyAlignment="1">
      <alignment readingOrder="1"/>
    </xf>
    <xf numFmtId="0" fontId="21" fillId="3" borderId="8" xfId="0" applyFont="1" applyFill="1" applyBorder="1" applyAlignment="1">
      <alignment horizontal="center" vertical="center"/>
    </xf>
    <xf numFmtId="0" fontId="21" fillId="3" borderId="12" xfId="0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164" fontId="16" fillId="3" borderId="9" xfId="0" applyNumberFormat="1" applyFont="1" applyFill="1" applyBorder="1" applyAlignment="1">
      <alignment horizontal="center" vertical="center"/>
    </xf>
    <xf numFmtId="164" fontId="16" fillId="3" borderId="10" xfId="0" applyNumberFormat="1" applyFont="1" applyFill="1" applyBorder="1" applyAlignment="1">
      <alignment horizontal="center" vertical="center"/>
    </xf>
    <xf numFmtId="164" fontId="16" fillId="3" borderId="6" xfId="0" applyNumberFormat="1" applyFont="1" applyFill="1" applyBorder="1" applyAlignment="1">
      <alignment horizontal="center" vertical="center"/>
    </xf>
    <xf numFmtId="164" fontId="16" fillId="3" borderId="7" xfId="0" applyNumberFormat="1" applyFont="1" applyFill="1" applyBorder="1" applyAlignment="1">
      <alignment horizontal="center" vertical="center"/>
    </xf>
    <xf numFmtId="164" fontId="16" fillId="3" borderId="11" xfId="0" applyNumberFormat="1" applyFont="1" applyFill="1" applyBorder="1" applyAlignment="1">
      <alignment horizontal="center" vertical="center"/>
    </xf>
    <xf numFmtId="164" fontId="16" fillId="3" borderId="4" xfId="0" applyNumberFormat="1" applyFont="1" applyFill="1" applyBorder="1" applyAlignment="1">
      <alignment horizontal="center" vertical="center"/>
    </xf>
    <xf numFmtId="0" fontId="12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10" fillId="6" borderId="0" xfId="0" applyFont="1" applyFill="1"/>
    <xf numFmtId="0" fontId="12" fillId="6" borderId="1" xfId="0" applyFont="1" applyFill="1" applyBorder="1" applyAlignment="1">
      <alignment horizontal="left"/>
    </xf>
    <xf numFmtId="0" fontId="22" fillId="6" borderId="1" xfId="0" applyFont="1" applyFill="1" applyBorder="1" applyAlignment="1">
      <alignment horizontal="left"/>
    </xf>
    <xf numFmtId="0" fontId="23" fillId="6" borderId="1" xfId="0" applyFont="1" applyFill="1" applyBorder="1" applyAlignment="1">
      <alignment horizontal="left"/>
    </xf>
    <xf numFmtId="0" fontId="6" fillId="0" borderId="0" xfId="0" applyFont="1" applyBorder="1" applyAlignment="1">
      <alignment readingOrder="1"/>
    </xf>
    <xf numFmtId="0" fontId="6" fillId="0" borderId="0" xfId="0" applyFont="1" applyFill="1" applyBorder="1" applyAlignment="1">
      <alignment readingOrder="1"/>
    </xf>
    <xf numFmtId="14" fontId="6" fillId="0" borderId="0" xfId="0" applyNumberFormat="1" applyFont="1" applyFill="1" applyBorder="1" applyAlignment="1">
      <alignment readingOrder="1"/>
    </xf>
    <xf numFmtId="0" fontId="0" fillId="0" borderId="0" xfId="0" applyFill="1" applyBorder="1"/>
    <xf numFmtId="14" fontId="0" fillId="0" borderId="0" xfId="0" applyNumberFormat="1" applyFill="1" applyBorder="1"/>
    <xf numFmtId="0" fontId="5" fillId="2" borderId="1" xfId="0" applyFont="1" applyFill="1" applyBorder="1" applyAlignment="1">
      <alignment horizontal="right" wrapText="1" readingOrder="1"/>
    </xf>
    <xf numFmtId="14" fontId="5" fillId="2" borderId="1" xfId="0" applyNumberFormat="1" applyFont="1" applyFill="1" applyBorder="1" applyAlignment="1">
      <alignment horizontal="right" wrapText="1" readingOrder="1"/>
    </xf>
    <xf numFmtId="0" fontId="7" fillId="0" borderId="1" xfId="0" applyFont="1" applyBorder="1" applyAlignment="1">
      <alignment horizontal="right" readingOrder="1"/>
    </xf>
    <xf numFmtId="0" fontId="7" fillId="0" borderId="1" xfId="0" quotePrefix="1" applyFont="1" applyBorder="1" applyAlignment="1">
      <alignment horizontal="right" readingOrder="1"/>
    </xf>
    <xf numFmtId="14" fontId="6" fillId="0" borderId="1" xfId="0" applyNumberFormat="1" applyFont="1" applyBorder="1" applyAlignment="1">
      <alignment horizontal="right" readingOrder="1"/>
    </xf>
    <xf numFmtId="0" fontId="6" fillId="0" borderId="1" xfId="0" applyFont="1" applyBorder="1" applyAlignment="1">
      <alignment horizontal="right" readingOrder="1"/>
    </xf>
    <xf numFmtId="14" fontId="7" fillId="0" borderId="1" xfId="0" applyNumberFormat="1" applyFont="1" applyBorder="1" applyAlignment="1">
      <alignment horizontal="right" readingOrder="1"/>
    </xf>
    <xf numFmtId="0" fontId="7" fillId="0" borderId="1" xfId="0" applyFont="1" applyFill="1" applyBorder="1" applyAlignment="1">
      <alignment horizontal="right" readingOrder="1"/>
    </xf>
    <xf numFmtId="0" fontId="7" fillId="0" borderId="1" xfId="0" quotePrefix="1" applyFont="1" applyFill="1" applyBorder="1" applyAlignment="1">
      <alignment horizontal="right" readingOrder="1"/>
    </xf>
    <xf numFmtId="14" fontId="7" fillId="0" borderId="1" xfId="0" applyNumberFormat="1" applyFont="1" applyFill="1" applyBorder="1" applyAlignment="1">
      <alignment horizontal="right" readingOrder="1"/>
    </xf>
    <xf numFmtId="0" fontId="6" fillId="0" borderId="1" xfId="0" applyFont="1" applyFill="1" applyBorder="1" applyAlignment="1">
      <alignment horizontal="right" readingOrder="1"/>
    </xf>
    <xf numFmtId="14" fontId="6" fillId="0" borderId="1" xfId="0" applyNumberFormat="1" applyFont="1" applyFill="1" applyBorder="1" applyAlignment="1">
      <alignment horizontal="right" readingOrder="1"/>
    </xf>
    <xf numFmtId="0" fontId="1" fillId="0" borderId="1" xfId="0" applyFont="1" applyBorder="1"/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Times New Roman"/>
        <scheme val="none"/>
      </font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Times New Roman"/>
      </font>
    </dxf>
    <dxf>
      <font>
        <name val="Times New Roman"/>
      </font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Times New Roman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Times New Roman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Times New Roman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C4C7C5"/>
        </top>
      </border>
    </dxf>
    <dxf>
      <border>
        <bottom style="thin">
          <color rgb="FF000000"/>
        </bottom>
      </border>
    </dxf>
    <dxf>
      <border outline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</border>
    </dxf>
    <dxf>
      <font>
        <name val="Times New Roman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Times New Roman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colors>
    <mruColors>
      <color rgb="FFE2CC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Outreach 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Dashboard!$C$9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027-48DC-A6E8-02054DBBC98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027-48DC-A6E8-02054DBBC98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027-48DC-A6E8-02054DBBC98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027-48DC-A6E8-02054DBBC98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027-48DC-A6E8-02054DBBC98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027-48DC-A6E8-02054DBBC98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027-48DC-A6E8-02054DBBC981}"/>
              </c:ext>
            </c:extLst>
          </c:dPt>
          <c:cat>
            <c:strRef>
              <c:f>Dashboard!$B$10:$B$16</c:f>
              <c:strCache>
                <c:ptCount val="7"/>
                <c:pt idx="0">
                  <c:v>Engaged</c:v>
                </c:pt>
                <c:pt idx="1">
                  <c:v>Initial Contact Made</c:v>
                </c:pt>
                <c:pt idx="2">
                  <c:v>In Discussion</c:v>
                </c:pt>
                <c:pt idx="3">
                  <c:v>Meeting Scheduled</c:v>
                </c:pt>
                <c:pt idx="4">
                  <c:v>On Hold</c:v>
                </c:pt>
                <c:pt idx="5">
                  <c:v>Not Started</c:v>
                </c:pt>
                <c:pt idx="6">
                  <c:v>Closed</c:v>
                </c:pt>
              </c:strCache>
            </c:strRef>
          </c:cat>
          <c:val>
            <c:numRef>
              <c:f>Dashboard!$C$10:$C$16</c:f>
              <c:numCache>
                <c:formatCode>General</c:formatCode>
                <c:ptCount val="7"/>
                <c:pt idx="0">
                  <c:v>22</c:v>
                </c:pt>
                <c:pt idx="1">
                  <c:v>15</c:v>
                </c:pt>
                <c:pt idx="2">
                  <c:v>14</c:v>
                </c:pt>
                <c:pt idx="3">
                  <c:v>11</c:v>
                </c:pt>
                <c:pt idx="4">
                  <c:v>11</c:v>
                </c:pt>
                <c:pt idx="5">
                  <c:v>10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55-4B8B-93C7-F968FC48D2EE}"/>
            </c:ext>
          </c:extLst>
        </c:ser>
        <c:ser>
          <c:idx val="1"/>
          <c:order val="1"/>
          <c:tx>
            <c:strRef>
              <c:f>Dashboard!$D$9</c:f>
              <c:strCache>
                <c:ptCount val="1"/>
                <c:pt idx="0">
                  <c:v>% Share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027-48DC-A6E8-02054DBBC98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027-48DC-A6E8-02054DBBC98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027-48DC-A6E8-02054DBBC98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027-48DC-A6E8-02054DBBC98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027-48DC-A6E8-02054DBBC98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6027-48DC-A6E8-02054DBBC98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6027-48DC-A6E8-02054DBBC981}"/>
              </c:ext>
            </c:extLst>
          </c:dPt>
          <c:cat>
            <c:strRef>
              <c:f>Dashboard!$B$10:$B$16</c:f>
              <c:strCache>
                <c:ptCount val="7"/>
                <c:pt idx="0">
                  <c:v>Engaged</c:v>
                </c:pt>
                <c:pt idx="1">
                  <c:v>Initial Contact Made</c:v>
                </c:pt>
                <c:pt idx="2">
                  <c:v>In Discussion</c:v>
                </c:pt>
                <c:pt idx="3">
                  <c:v>Meeting Scheduled</c:v>
                </c:pt>
                <c:pt idx="4">
                  <c:v>On Hold</c:v>
                </c:pt>
                <c:pt idx="5">
                  <c:v>Not Started</c:v>
                </c:pt>
                <c:pt idx="6">
                  <c:v>Closed</c:v>
                </c:pt>
              </c:strCache>
            </c:strRef>
          </c:cat>
          <c:val>
            <c:numRef>
              <c:f>Dashboard!$D$10:$D$16</c:f>
              <c:numCache>
                <c:formatCode>0%</c:formatCode>
                <c:ptCount val="7"/>
                <c:pt idx="0">
                  <c:v>0.25</c:v>
                </c:pt>
                <c:pt idx="1">
                  <c:v>0.17</c:v>
                </c:pt>
                <c:pt idx="2">
                  <c:v>0.16</c:v>
                </c:pt>
                <c:pt idx="3">
                  <c:v>0.13</c:v>
                </c:pt>
                <c:pt idx="4">
                  <c:v>0.13</c:v>
                </c:pt>
                <c:pt idx="5">
                  <c:v>0.11</c:v>
                </c:pt>
                <c:pt idx="6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55-4B8B-93C7-F968FC48D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Engagement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Dashboard!$P$9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Dashboard!$O$10:$O$13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Unknown/Missing</c:v>
                </c:pt>
              </c:strCache>
            </c:strRef>
          </c:cat>
          <c:val>
            <c:numRef>
              <c:f>Dashboard!$P$10:$P$13</c:f>
              <c:numCache>
                <c:formatCode>General</c:formatCode>
                <c:ptCount val="4"/>
                <c:pt idx="0">
                  <c:v>26</c:v>
                </c:pt>
                <c:pt idx="1">
                  <c:v>22</c:v>
                </c:pt>
                <c:pt idx="2">
                  <c:v>19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61-48E0-B26B-9A97CB700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5642504"/>
        <c:axId val="1968051207"/>
      </c:barChart>
      <c:catAx>
        <c:axId val="1585642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051207"/>
        <c:crosses val="autoZero"/>
        <c:auto val="1"/>
        <c:lblAlgn val="ctr"/>
        <c:lblOffset val="100"/>
        <c:noMultiLvlLbl val="0"/>
      </c:catAx>
      <c:valAx>
        <c:axId val="1968051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642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70BF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Engagement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Dashboard!$H$9</c:f>
              <c:strCache>
                <c:ptCount val="1"/>
                <c:pt idx="0">
                  <c:v>Region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Dashboard!$H$10:$H$16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A8-48FA-BDF1-C26D465434D5}"/>
            </c:ext>
          </c:extLst>
        </c:ser>
        <c:ser>
          <c:idx val="1"/>
          <c:order val="1"/>
          <c:tx>
            <c:strRef>
              <c:f>Dashboard!$I$9</c:f>
              <c:strCache>
                <c:ptCount val="1"/>
                <c:pt idx="0">
                  <c:v>Total Embassies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Dashboard!$I$10:$I$16</c:f>
              <c:numCache>
                <c:formatCode>General</c:formatCode>
                <c:ptCount val="7"/>
                <c:pt idx="0">
                  <c:v>19</c:v>
                </c:pt>
                <c:pt idx="1">
                  <c:v>16</c:v>
                </c:pt>
                <c:pt idx="2">
                  <c:v>15</c:v>
                </c:pt>
                <c:pt idx="3">
                  <c:v>14</c:v>
                </c:pt>
                <c:pt idx="4">
                  <c:v>12</c:v>
                </c:pt>
                <c:pt idx="5">
                  <c:v>7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A8-48FA-BDF1-C26D465434D5}"/>
            </c:ext>
          </c:extLst>
        </c:ser>
        <c:ser>
          <c:idx val="2"/>
          <c:order val="2"/>
          <c:tx>
            <c:strRef>
              <c:f>Dashboard!$J$9</c:f>
              <c:strCache>
                <c:ptCount val="1"/>
                <c:pt idx="0">
                  <c:v>Engaged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Dashboard!$J$10:$J$16</c:f>
              <c:numCache>
                <c:formatCode>General</c:formatCode>
                <c:ptCount val="7"/>
                <c:pt idx="0">
                  <c:v>3</c:v>
                </c:pt>
                <c:pt idx="1">
                  <c:v>7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BA8-48FA-BDF1-C26D465434D5}"/>
            </c:ext>
          </c:extLst>
        </c:ser>
        <c:ser>
          <c:idx val="3"/>
          <c:order val="3"/>
          <c:tx>
            <c:strRef>
              <c:f>Dashboard!$K$9</c:f>
              <c:strCache>
                <c:ptCount val="1"/>
                <c:pt idx="0">
                  <c:v>In Discussion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Dashboard!$K$10:$K$16</c:f>
              <c:numCache>
                <c:formatCode>General</c:formatCode>
                <c:ptCount val="7"/>
                <c:pt idx="0">
                  <c:v>4</c:v>
                </c:pt>
                <c:pt idx="1">
                  <c:v>2</c:v>
                </c:pt>
                <c:pt idx="2">
                  <c:v>4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A8-48FA-BDF1-C26D465434D5}"/>
            </c:ext>
          </c:extLst>
        </c:ser>
        <c:ser>
          <c:idx val="4"/>
          <c:order val="4"/>
          <c:tx>
            <c:strRef>
              <c:f>Dashboard!$L$9</c:f>
              <c:strCache>
                <c:ptCount val="1"/>
                <c:pt idx="0">
                  <c:v>Active Engagement Rate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Dashboard!$L$10:$L$16</c:f>
              <c:numCache>
                <c:formatCode>0.00</c:formatCode>
                <c:ptCount val="7"/>
                <c:pt idx="0">
                  <c:v>0.36842105263157893</c:v>
                </c:pt>
                <c:pt idx="1">
                  <c:v>0.5625</c:v>
                </c:pt>
                <c:pt idx="2">
                  <c:v>0.46666666666666667</c:v>
                </c:pt>
                <c:pt idx="3">
                  <c:v>0.35714285714285715</c:v>
                </c:pt>
                <c:pt idx="4">
                  <c:v>0.5</c:v>
                </c:pt>
                <c:pt idx="5">
                  <c:v>0.5714285714285714</c:v>
                </c:pt>
                <c:pt idx="6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BA8-48FA-BDF1-C26D46543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6592264"/>
        <c:axId val="953808392"/>
      </c:barChart>
      <c:catAx>
        <c:axId val="946592264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808392"/>
        <c:crosses val="autoZero"/>
        <c:auto val="1"/>
        <c:lblAlgn val="ctr"/>
        <c:lblOffset val="100"/>
        <c:noMultiLvlLbl val="0"/>
      </c:catAx>
      <c:valAx>
        <c:axId val="953808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592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695325</xdr:colOff>
      <xdr:row>18</xdr:row>
      <xdr:rowOff>123825</xdr:rowOff>
    </xdr:from>
    <xdr:to>
      <xdr:col>5</xdr:col>
      <xdr:colOff>390525</xdr:colOff>
      <xdr:row>43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A3D3558-5B81-94B7-F8BF-E6C7671A329C}"/>
            </a:ext>
            <a:ext uri="{147F2762-F138-4A5C-976F-8EAC2B608ADB}">
              <a16:predDERef xmlns:a16="http://schemas.microsoft.com/office/drawing/2014/main" pred="{CAC83CCB-1712-46A5-A765-C29D5A2B01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533400</xdr:colOff>
      <xdr:row>14</xdr:row>
      <xdr:rowOff>9525</xdr:rowOff>
    </xdr:from>
    <xdr:to>
      <xdr:col>16</xdr:col>
      <xdr:colOff>1066800</xdr:colOff>
      <xdr:row>43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D6B8D2-382D-D8F3-80B1-A85FB62F3231}"/>
            </a:ext>
            <a:ext uri="{147F2762-F138-4A5C-976F-8EAC2B608ADB}">
              <a16:predDERef xmlns:a16="http://schemas.microsoft.com/office/drawing/2014/main" pred="{6A3D3558-5B81-94B7-F8BF-E6C7671A32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1095375</xdr:colOff>
      <xdr:row>18</xdr:row>
      <xdr:rowOff>28575</xdr:rowOff>
    </xdr:from>
    <xdr:to>
      <xdr:col>12</xdr:col>
      <xdr:colOff>200025</xdr:colOff>
      <xdr:row>56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18EE06-A61B-F26A-B600-DB3DB463419C}"/>
            </a:ext>
            <a:ext uri="{147F2762-F138-4A5C-976F-8EAC2B608ADB}">
              <a16:predDERef xmlns:a16="http://schemas.microsoft.com/office/drawing/2014/main" pred="{94D6B8D2-382D-D8F3-80B1-A85FB62F32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DC2CEF-CF32-439B-84E2-F9A0B4CECBBD}" name="Table1" displayName="Table1" ref="B9:D18" totalsRowShown="0" headerRowDxfId="14" dataDxfId="13" headerRowBorderDxfId="11" tableBorderDxfId="12" totalsRowBorderDxfId="10">
  <autoFilter ref="B9:D18" xr:uid="{6FDC2CEF-CF32-439B-84E2-F9A0B4CECBBD}"/>
  <tableColumns count="3">
    <tableColumn id="1" xr3:uid="{17E0F2F1-11C0-42D0-B10D-E6B15E6E2FC4}" name="Outreach Status" dataDxfId="9"/>
    <tableColumn id="2" xr3:uid="{409AF063-A5B3-43D9-A13D-E8E01DE3422F}" name="Count" dataDxfId="8"/>
    <tableColumn id="3" xr3:uid="{45F7FCE6-D323-48AC-8CEE-A01929589B55}" name="% Share" dataDxfId="7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594685-18EF-4502-A713-831DBA54A014}" name="Table4" displayName="Table4" ref="O9:P13" totalsRowShown="0" headerRowDxfId="6" dataDxfId="5" headerRowBorderDxfId="3" tableBorderDxfId="4" totalsRowBorderDxfId="2">
  <autoFilter ref="O9:P13" xr:uid="{06594685-18EF-4502-A713-831DBA54A014}"/>
  <tableColumns count="2">
    <tableColumn id="1" xr3:uid="{7A9C716A-447C-42B0-B3AF-A5BB3A46240E}" name="Engagement Level" dataDxfId="1"/>
    <tableColumn id="2" xr3:uid="{1DB1930D-1A46-4DEA-B4A6-54F4A97C1F1B}" name="C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"/>
  <sheetViews>
    <sheetView tabSelected="1" topLeftCell="N1" workbookViewId="0">
      <selection activeCell="T14" sqref="T14"/>
    </sheetView>
  </sheetViews>
  <sheetFormatPr defaultRowHeight="15"/>
  <cols>
    <col min="1" max="1" width="48.7109375" style="20" bestFit="1" customWidth="1"/>
    <col min="2" max="2" width="19.140625" style="20" bestFit="1" customWidth="1"/>
    <col min="3" max="3" width="17.28515625" style="20" bestFit="1" customWidth="1"/>
    <col min="4" max="4" width="11.7109375" style="20" customWidth="1"/>
    <col min="5" max="5" width="15" style="20" customWidth="1"/>
    <col min="6" max="6" width="14.85546875" style="20" customWidth="1"/>
    <col min="7" max="7" width="16.7109375" style="20" customWidth="1"/>
    <col min="8" max="8" width="27" style="20" bestFit="1" customWidth="1"/>
    <col min="9" max="11" width="25" style="20" customWidth="1"/>
    <col min="12" max="12" width="26.28515625" style="20" customWidth="1"/>
    <col min="13" max="13" width="24.140625" style="20" bestFit="1" customWidth="1"/>
    <col min="14" max="14" width="21.85546875" style="20" bestFit="1" customWidth="1"/>
    <col min="15" max="15" width="20.5703125" style="20" bestFit="1" customWidth="1"/>
    <col min="16" max="16" width="22.140625" style="20" bestFit="1" customWidth="1"/>
    <col min="17" max="17" width="18.85546875" style="20" customWidth="1"/>
    <col min="18" max="18" width="21.85546875" style="20" bestFit="1" customWidth="1"/>
    <col min="19" max="19" width="28.28515625" style="20" bestFit="1" customWidth="1"/>
    <col min="20" max="20" width="27" style="20" bestFit="1" customWidth="1"/>
    <col min="21" max="16384" width="9.140625" style="20"/>
  </cols>
  <sheetData>
    <row r="1" spans="1:20">
      <c r="A1" s="19"/>
      <c r="B1" s="19"/>
      <c r="C1" s="19"/>
      <c r="D1" s="19"/>
      <c r="E1" s="19"/>
      <c r="F1" s="19"/>
      <c r="G1" s="19"/>
      <c r="N1" s="19"/>
      <c r="O1" s="19"/>
    </row>
    <row r="3" spans="1:20">
      <c r="A3" s="37" t="s">
        <v>0</v>
      </c>
      <c r="C3" s="34" t="s">
        <v>1</v>
      </c>
      <c r="D3" s="35"/>
      <c r="E3" s="35"/>
      <c r="F3" s="21"/>
      <c r="G3" s="34" t="s">
        <v>2</v>
      </c>
      <c r="H3" s="35"/>
      <c r="I3" s="35"/>
      <c r="J3" s="21"/>
      <c r="K3" s="57" t="s">
        <v>3</v>
      </c>
      <c r="L3" s="58"/>
      <c r="M3" s="58"/>
      <c r="N3" s="59"/>
    </row>
    <row r="4" spans="1:20" ht="15" customHeight="1">
      <c r="A4" s="38"/>
      <c r="C4" s="36" cm="1">
        <f t="array" ref="C4">COUNTA(_xlfn.UNIQUE(_xlfn._xlws.FILTER('BackEnd Data'!A2:A89,'BackEnd Data'!A2:A89&lt;&gt;"")))</f>
        <v>85</v>
      </c>
      <c r="D4" s="36"/>
      <c r="E4" s="36"/>
      <c r="F4" s="22"/>
      <c r="G4" s="40">
        <f>(C10+C12)/SUM(C10:C16)</f>
        <v>0.40909090909090912</v>
      </c>
      <c r="H4" s="40"/>
      <c r="I4" s="40"/>
      <c r="J4" s="41"/>
      <c r="K4" s="60">
        <f>(C14+C15+C13)/SUM(C10:C16)</f>
        <v>0.36363636363636365</v>
      </c>
      <c r="L4" s="61"/>
      <c r="M4" s="61"/>
      <c r="N4" s="62"/>
    </row>
    <row r="5" spans="1:20" ht="25.5">
      <c r="A5" s="38"/>
      <c r="C5" s="36"/>
      <c r="D5" s="36"/>
      <c r="E5" s="36"/>
      <c r="F5" s="22"/>
      <c r="G5" s="40"/>
      <c r="H5" s="40"/>
      <c r="I5" s="40"/>
      <c r="J5" s="41"/>
      <c r="K5" s="63"/>
      <c r="L5" s="64"/>
      <c r="M5" s="64"/>
      <c r="N5" s="65"/>
    </row>
    <row r="7" spans="1:20">
      <c r="A7" s="23"/>
      <c r="B7" s="32" t="s">
        <v>4</v>
      </c>
      <c r="C7" s="32"/>
      <c r="D7" s="32"/>
      <c r="H7" s="33" t="s">
        <v>5</v>
      </c>
      <c r="I7" s="33"/>
      <c r="J7" s="33"/>
      <c r="K7" s="33"/>
      <c r="L7" s="33"/>
      <c r="M7" s="19"/>
      <c r="O7" s="39" t="s">
        <v>6</v>
      </c>
      <c r="P7" s="39"/>
      <c r="S7" s="66" t="s">
        <v>7</v>
      </c>
      <c r="T7" s="67"/>
    </row>
    <row r="8" spans="1:20">
      <c r="O8" s="24"/>
      <c r="P8" s="24"/>
      <c r="S8" s="68"/>
      <c r="T8" s="68"/>
    </row>
    <row r="9" spans="1:20">
      <c r="B9" s="25" t="s">
        <v>8</v>
      </c>
      <c r="C9" s="25" t="s">
        <v>9</v>
      </c>
      <c r="D9" s="25" t="s">
        <v>10</v>
      </c>
      <c r="E9" s="19"/>
      <c r="F9" s="19"/>
      <c r="H9" s="44" t="s">
        <v>11</v>
      </c>
      <c r="I9" s="44" t="s">
        <v>12</v>
      </c>
      <c r="J9" s="44" t="s">
        <v>13</v>
      </c>
      <c r="K9" s="44" t="s">
        <v>14</v>
      </c>
      <c r="L9" s="45" t="s">
        <v>15</v>
      </c>
      <c r="M9" s="26"/>
      <c r="O9" s="13" t="s">
        <v>16</v>
      </c>
      <c r="P9" s="16" t="s">
        <v>9</v>
      </c>
      <c r="S9" s="69" t="s">
        <v>17</v>
      </c>
      <c r="T9" s="69" t="s">
        <v>18</v>
      </c>
    </row>
    <row r="10" spans="1:20">
      <c r="B10" s="27" t="s">
        <v>13</v>
      </c>
      <c r="C10" s="27">
        <f>COUNTIF('BackEnd Data'!H:H, "Engaged")</f>
        <v>22</v>
      </c>
      <c r="D10" s="55">
        <f>ROUND(C10/SUM($C$10:$C$16),2)</f>
        <v>0.25</v>
      </c>
      <c r="H10" s="46" t="s">
        <v>19</v>
      </c>
      <c r="I10" s="47">
        <f>COUNTIF('BackEnd Data'!C1:C89, "Europe")</f>
        <v>19</v>
      </c>
      <c r="J10" s="47">
        <f>COUNTIFS('BackEnd Data'!$C$2:$C$92,"Europe",'BackEnd Data'!$H$2:$H$92,"Engaged")</f>
        <v>3</v>
      </c>
      <c r="K10" s="47">
        <f>COUNTIFS('BackEnd Data'!$C$2:$C$92,"Europe",'BackEnd Data'!$H$2:$H$92,"In Discussion")</f>
        <v>4</v>
      </c>
      <c r="L10" s="50">
        <f>(COUNTIFS('BackEnd Data'!$C$2:$C$92,"Europe",'BackEnd Data'!$H$2:$H$92,"Engaged")+COUNTIFS('BackEnd Data'!$C$2:$C$92,"Europe",'BackEnd Data'!$H$2:$H$92,"In Discussion"))/COUNTIF('BackEnd Data'!$C$2:$C$92,"Europe")</f>
        <v>0.36842105263157893</v>
      </c>
      <c r="M10" s="28"/>
      <c r="O10" s="14" t="s">
        <v>20</v>
      </c>
      <c r="P10" s="17">
        <f>COUNTIF('BackEnd Data'!N2:N92, "Low")</f>
        <v>26</v>
      </c>
      <c r="S10" s="70" t="s">
        <v>21</v>
      </c>
      <c r="T10" s="71">
        <f>COUNTBLANK('BackEnd Data'!$L$2:$L$92)</f>
        <v>25</v>
      </c>
    </row>
    <row r="11" spans="1:20">
      <c r="B11" s="29" t="s">
        <v>22</v>
      </c>
      <c r="C11" s="29">
        <f>COUNTIF('BackEnd Data'!H:H, "Initial Contact Made")</f>
        <v>15</v>
      </c>
      <c r="D11" s="56">
        <f>ROUND(C11/SUM($C$10:$C$16),2)</f>
        <v>0.17</v>
      </c>
      <c r="H11" s="49" t="s">
        <v>23</v>
      </c>
      <c r="I11" s="43">
        <f>COUNTIF('BackEnd Data'!C1:C89, "Sub-Saharan Africa")</f>
        <v>16</v>
      </c>
      <c r="J11" s="43">
        <f>COUNTIFS('BackEnd Data'!$C$2:$C$92,"Sub-Saharan Africa",'BackEnd Data'!$H$2:$H$92,"Engaged")</f>
        <v>7</v>
      </c>
      <c r="K11" s="43">
        <f>COUNTIFS('BackEnd Data'!$C$2:$C$92,"Sub-Saharan Africa",'BackEnd Data'!$H$2:$H$92,"In Discussion")</f>
        <v>2</v>
      </c>
      <c r="L11" s="51">
        <f>(COUNTIFS('BackEnd Data'!$C$2:$C$92,"Sub-Saharan Africa",'BackEnd Data'!$H$2:$H$92,"Engaged")+COUNTIFS('BackEnd Data'!$C$2:$C$92,"Sub-Saharan Africa",'BackEnd Data'!$H$2:$H$92,"In Discussion"))/COUNTIF('BackEnd Data'!$C$2:$C$92,"Sub-Saharan Africa")</f>
        <v>0.5625</v>
      </c>
      <c r="M11" s="28"/>
      <c r="O11" s="14" t="s">
        <v>24</v>
      </c>
      <c r="P11" s="17">
        <f>COUNTIF('BackEnd Data'!N2:N92, "Medium")</f>
        <v>22</v>
      </c>
      <c r="S11" s="70" t="s">
        <v>25</v>
      </c>
      <c r="T11" s="71">
        <f>COUNTBLANK('BackEnd Data'!$N$2:$N$92)</f>
        <v>24</v>
      </c>
    </row>
    <row r="12" spans="1:20">
      <c r="B12" s="29" t="s">
        <v>14</v>
      </c>
      <c r="C12" s="29">
        <f>COUNTIF('BackEnd Data'!H:H, "In Discussion")</f>
        <v>14</v>
      </c>
      <c r="D12" s="56">
        <f>ROUND(C12/SUM($C$10:$C$16),2)</f>
        <v>0.16</v>
      </c>
      <c r="H12" s="46" t="s">
        <v>26</v>
      </c>
      <c r="I12" s="47">
        <f>COUNTIF('BackEnd Data'!C3:C91, "Asia-Pacific")</f>
        <v>15</v>
      </c>
      <c r="J12" s="47">
        <f>COUNTIFS('BackEnd Data'!$C$2:$C$92,"Asia-Pacific",'BackEnd Data'!$H$2:$H$92,"Engaged")</f>
        <v>3</v>
      </c>
      <c r="K12" s="47">
        <f>COUNTIFS('BackEnd Data'!$C$2:$C$92,"Asia-Pacific",'BackEnd Data'!$H$2:$H$92,"In Discussion")</f>
        <v>4</v>
      </c>
      <c r="L12" s="50">
        <f>(COUNTIFS('BackEnd Data'!$C$2:$C$92,"Asia-Pacific",'BackEnd Data'!$H$2:$H$92,"Engaged")+COUNTIFS('BackEnd Data'!$C$2:$C$92,"Asia-Pacific",'BackEnd Data'!$H$2:$H$92,"In Discussion"))/COUNTIF('BackEnd Data'!$C$2:$C$92,"Asia-Pacific")</f>
        <v>0.46666666666666667</v>
      </c>
      <c r="M12" s="28"/>
      <c r="O12" s="15" t="s">
        <v>27</v>
      </c>
      <c r="P12" s="18">
        <f>COUNTIF('BackEnd Data'!N3:N93, "High")</f>
        <v>19</v>
      </c>
      <c r="S12" s="70" t="s">
        <v>28</v>
      </c>
      <c r="T12" s="71">
        <f>COUNTBLANK('BackEnd Data'!$J$2:$J$92)</f>
        <v>13</v>
      </c>
    </row>
    <row r="13" spans="1:20">
      <c r="B13" s="29" t="s">
        <v>29</v>
      </c>
      <c r="C13" s="29">
        <f>COUNTIF('BackEnd Data'!H:H, "Meeting Scheduled")</f>
        <v>11</v>
      </c>
      <c r="D13" s="56">
        <f>ROUND(C13/SUM($C$10:$C$16),2)</f>
        <v>0.13</v>
      </c>
      <c r="H13" s="49" t="s">
        <v>30</v>
      </c>
      <c r="I13" s="43">
        <f>COUNTIF('BackEnd Data'!C4:C92, "America")</f>
        <v>14</v>
      </c>
      <c r="J13" s="43">
        <f>COUNTIFS('BackEnd Data'!$C$2:$C$92,"America",'BackEnd Data'!$H$2:$H$92,"Engaged")</f>
        <v>4</v>
      </c>
      <c r="K13" s="43">
        <f>COUNTIFS('BackEnd Data'!$C$2:$C$92,"America",'BackEnd Data'!$H$2:$H$92,"In Discussion")</f>
        <v>1</v>
      </c>
      <c r="L13" s="51">
        <f>(COUNTIFS('BackEnd Data'!$C$2:$C$92,"America",'BackEnd Data'!$H$2:$H$92,"Engaged")+COUNTIFS('BackEnd Data'!$C$2:$C$92,"America",'BackEnd Data'!$H$2:$H$92,"In Discussion"))/COUNTIF('BackEnd Data'!$C$2:$C$92,"America")</f>
        <v>0.35714285714285715</v>
      </c>
      <c r="M13" s="28"/>
      <c r="O13" s="15" t="s">
        <v>31</v>
      </c>
      <c r="P13" s="54">
        <f>COUNTIF('BackEnd Data'!N3:N93, "")</f>
        <v>24</v>
      </c>
      <c r="Q13" s="30"/>
      <c r="S13" s="70" t="s">
        <v>32</v>
      </c>
      <c r="T13" s="71">
        <f>COUNTBLANK('BackEnd Data'!$F$2:$F$89)</f>
        <v>7</v>
      </c>
    </row>
    <row r="14" spans="1:20">
      <c r="B14" s="29" t="s">
        <v>33</v>
      </c>
      <c r="C14" s="29">
        <f>COUNTIF('BackEnd Data'!H:H, "On Hold")</f>
        <v>11</v>
      </c>
      <c r="D14" s="56">
        <f>ROUND(C14/SUM($C$10:$C$16),2)</f>
        <v>0.13</v>
      </c>
      <c r="H14" s="46" t="s">
        <v>34</v>
      </c>
      <c r="I14" s="47">
        <f>COUNTIF('BackEnd Data'!C5:C93, "Middle East &amp; North Africa")</f>
        <v>12</v>
      </c>
      <c r="J14" s="47">
        <f>COUNTIFS('BackEnd Data'!$C$2:$C$92,"Middle East &amp; North Africa",'BackEnd Data'!$H$2:$H$92,"Engaged")</f>
        <v>4</v>
      </c>
      <c r="K14" s="47">
        <f>COUNTIFS('BackEnd Data'!$C$2:$C$92,"Middle East &amp; North Africa",'BackEnd Data'!$H$2:$H$92,"In Discussion")</f>
        <v>2</v>
      </c>
      <c r="L14" s="50">
        <f>(COUNTIFS('BackEnd Data'!$C$2:$C$92,"Middle East &amp; North Africa",'BackEnd Data'!$H$2:$H$92,"Engaged")+COUNTIFS('BackEnd Data'!$C$2:$C$92,"Middle East &amp; North Africa",'BackEnd Data'!$H$2:$H$92,"In Discussion"))/COUNTIF('BackEnd Data'!$C$2:$C$92,"Middle East &amp; North Africa")</f>
        <v>0.5</v>
      </c>
      <c r="M14" s="28"/>
      <c r="S14" s="70" t="s">
        <v>35</v>
      </c>
      <c r="T14" s="71">
        <f>COUNTBLANK('BackEnd Data'!$I$2:$I$89)</f>
        <v>8</v>
      </c>
    </row>
    <row r="15" spans="1:20">
      <c r="B15" s="29" t="s">
        <v>36</v>
      </c>
      <c r="C15" s="29">
        <f>COUNTIF('BackEnd Data'!H:H, "Not Started")</f>
        <v>10</v>
      </c>
      <c r="D15" s="56">
        <f>ROUND(C15/SUM($C$10:$C$16),2)</f>
        <v>0.11</v>
      </c>
      <c r="H15" s="49" t="s">
        <v>37</v>
      </c>
      <c r="I15" s="43">
        <f>COUNTIF('BackEnd Data'!C6:C94, "South &amp; Central Asia")</f>
        <v>7</v>
      </c>
      <c r="J15" s="43">
        <f>COUNTIFS('BackEnd Data'!$C$2:$C$92,"South &amp; Central Asia",'BackEnd Data'!$H$2:$H$92,"Engaged")</f>
        <v>1</v>
      </c>
      <c r="K15" s="43">
        <f>COUNTIFS('BackEnd Data'!$C$2:$C$92,"South &amp; Central Asia",'BackEnd Data'!$H$2:$H$92,"In Discussion")</f>
        <v>1</v>
      </c>
      <c r="L15" s="51">
        <f>(COUNTIFS('BackEnd Data'!$C$2:$C$92,"South &amp; Central Asia",'BackEnd Data'!$H$2:$H$92,"South &amp; Central Asia")+COUNTIFS('BackEnd Data'!$C$2:$C$92,"Europe",'BackEnd Data'!$H$2:$H$92,"In Discussion"))/COUNTIF('BackEnd Data'!$C$2:$C$92,"South &amp; Central Asia")</f>
        <v>0.5714285714285714</v>
      </c>
      <c r="M15" s="28"/>
      <c r="P15" s="31"/>
      <c r="Q15" s="31"/>
      <c r="R15" s="31"/>
      <c r="S15" s="70" t="s">
        <v>38</v>
      </c>
      <c r="T15" s="71">
        <f>8</f>
        <v>8</v>
      </c>
    </row>
    <row r="16" spans="1:20">
      <c r="B16" s="29" t="s">
        <v>39</v>
      </c>
      <c r="C16" s="29">
        <f>COUNTIF('BackEnd Data'!H:H, "Closed")</f>
        <v>5</v>
      </c>
      <c r="D16" s="56">
        <f>ROUND(C16/SUM($C$10:$C$16),2)</f>
        <v>0.06</v>
      </c>
      <c r="H16" s="46" t="s">
        <v>31</v>
      </c>
      <c r="I16" s="47">
        <f>COUNTBLANK('BackEnd Data'!$C$2:$C$89)</f>
        <v>5</v>
      </c>
      <c r="J16" s="47">
        <f>COUNTIFS('BackEnd Data'!$C$2:$C$92,"",'BackEnd Data'!$H$2:$H$92,"Engaged")</f>
        <v>0</v>
      </c>
      <c r="K16" s="47">
        <f>COUNTIFS('BackEnd Data'!$C$2:$C$92,"",'BackEnd Data'!$H$2:$H$92,"In Discussion")</f>
        <v>0</v>
      </c>
      <c r="L16" s="48" t="e">
        <f>(J16+K16)/COUNT('BackEnd Data'!N1:N90)</f>
        <v>#DIV/0!</v>
      </c>
      <c r="P16" s="19"/>
      <c r="Q16" s="19"/>
      <c r="R16" s="19"/>
      <c r="S16" s="70" t="s">
        <v>40</v>
      </c>
      <c r="T16" s="71">
        <f>COUNTIF('BackEnd Data'!$M$2:$M$89,"&lt;0")</f>
        <v>1</v>
      </c>
    </row>
    <row r="17" spans="1:12">
      <c r="B17" s="29"/>
      <c r="C17" s="29"/>
      <c r="D17" s="29"/>
      <c r="H17" s="53" t="s">
        <v>41</v>
      </c>
      <c r="I17" s="42">
        <f>SUM(I10:I16)</f>
        <v>88</v>
      </c>
      <c r="J17" s="42">
        <f>SUM(J10:J16)</f>
        <v>22</v>
      </c>
      <c r="K17" s="42">
        <f>SUM(K10:K16)</f>
        <v>14</v>
      </c>
      <c r="L17" s="52">
        <f>SUM(L10:L15)</f>
        <v>2.8261591478696744</v>
      </c>
    </row>
    <row r="18" spans="1:12">
      <c r="B18" s="25" t="s">
        <v>41</v>
      </c>
      <c r="C18" s="29">
        <f>SUM(C10:C16)</f>
        <v>88</v>
      </c>
      <c r="D18" s="29">
        <f>SUM(C10:C16)/SUM(C10:C16)</f>
        <v>1</v>
      </c>
    </row>
    <row r="30" spans="1:12">
      <c r="A30" s="23"/>
      <c r="B30" s="23"/>
      <c r="C30" s="23"/>
      <c r="D30" s="23"/>
      <c r="E30" s="23"/>
      <c r="F30" s="23"/>
    </row>
  </sheetData>
  <mergeCells count="11">
    <mergeCell ref="S7:T7"/>
    <mergeCell ref="O7:P7"/>
    <mergeCell ref="G3:I3"/>
    <mergeCell ref="G4:I5"/>
    <mergeCell ref="H7:L7"/>
    <mergeCell ref="K3:N3"/>
    <mergeCell ref="K4:N5"/>
    <mergeCell ref="B7:D7"/>
    <mergeCell ref="C3:E3"/>
    <mergeCell ref="C4:E5"/>
    <mergeCell ref="A3:A5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55161-7874-451D-877C-635FF00504B9}">
  <dimension ref="A1:AE115"/>
  <sheetViews>
    <sheetView workbookViewId="0">
      <selection activeCell="N2" sqref="N2"/>
    </sheetView>
  </sheetViews>
  <sheetFormatPr defaultRowHeight="15"/>
  <cols>
    <col min="1" max="1" width="15.140625" bestFit="1" customWidth="1"/>
    <col min="2" max="2" width="17.5703125" bestFit="1" customWidth="1"/>
    <col min="3" max="3" width="23.28515625" bestFit="1" customWidth="1"/>
    <col min="4" max="4" width="18.85546875" bestFit="1" customWidth="1"/>
    <col min="5" max="5" width="23.85546875" bestFit="1" customWidth="1"/>
    <col min="6" max="6" width="41.140625" bestFit="1" customWidth="1"/>
    <col min="7" max="7" width="16.28515625" bestFit="1" customWidth="1"/>
    <col min="8" max="8" width="20" bestFit="1" customWidth="1"/>
    <col min="9" max="9" width="19.7109375" bestFit="1" customWidth="1"/>
    <col min="10" max="10" width="21.42578125" style="3" bestFit="1" customWidth="1"/>
    <col min="11" max="11" width="21.28515625" style="3" bestFit="1" customWidth="1"/>
    <col min="12" max="12" width="23.42578125" style="3" bestFit="1" customWidth="1"/>
    <col min="13" max="13" width="15.5703125" bestFit="1" customWidth="1"/>
    <col min="14" max="14" width="22.5703125" bestFit="1" customWidth="1"/>
    <col min="15" max="15" width="12.140625" bestFit="1" customWidth="1"/>
    <col min="16" max="16" width="35" customWidth="1"/>
  </cols>
  <sheetData>
    <row r="1" spans="1:17">
      <c r="A1" s="77" t="s">
        <v>42</v>
      </c>
      <c r="B1" s="77" t="s">
        <v>43</v>
      </c>
      <c r="C1" s="77" t="s">
        <v>11</v>
      </c>
      <c r="D1" s="77" t="s">
        <v>44</v>
      </c>
      <c r="E1" s="77" t="s">
        <v>45</v>
      </c>
      <c r="F1" s="77" t="s">
        <v>46</v>
      </c>
      <c r="G1" s="77" t="s">
        <v>47</v>
      </c>
      <c r="H1" s="77" t="s">
        <v>8</v>
      </c>
      <c r="I1" s="77" t="s">
        <v>48</v>
      </c>
      <c r="J1" s="78" t="s">
        <v>49</v>
      </c>
      <c r="K1" s="78" t="s">
        <v>50</v>
      </c>
      <c r="L1" s="78" t="s">
        <v>51</v>
      </c>
      <c r="M1" s="77" t="s">
        <v>52</v>
      </c>
      <c r="N1" s="77" t="s">
        <v>16</v>
      </c>
      <c r="O1" s="77" t="s">
        <v>53</v>
      </c>
      <c r="P1" s="77" t="s">
        <v>54</v>
      </c>
      <c r="Q1" s="72"/>
    </row>
    <row r="2" spans="1:17">
      <c r="A2" s="79" t="s">
        <v>55</v>
      </c>
      <c r="B2" s="79" t="s">
        <v>56</v>
      </c>
      <c r="C2" s="79" t="s">
        <v>19</v>
      </c>
      <c r="D2" s="79" t="s">
        <v>57</v>
      </c>
      <c r="E2" s="79" t="s">
        <v>58</v>
      </c>
      <c r="F2" s="79" t="s">
        <v>59</v>
      </c>
      <c r="G2" s="80" t="s">
        <v>60</v>
      </c>
      <c r="H2" s="79" t="s">
        <v>61</v>
      </c>
      <c r="I2" s="79" t="s">
        <v>62</v>
      </c>
      <c r="J2" s="81"/>
      <c r="K2" s="81"/>
      <c r="L2" s="81"/>
      <c r="M2" s="79">
        <v>0</v>
      </c>
      <c r="N2" s="82"/>
      <c r="O2" s="82"/>
      <c r="P2" s="79" t="s">
        <v>63</v>
      </c>
      <c r="Q2" s="72"/>
    </row>
    <row r="3" spans="1:17">
      <c r="A3" s="79" t="s">
        <v>64</v>
      </c>
      <c r="B3" s="79" t="s">
        <v>65</v>
      </c>
      <c r="C3" s="79" t="s">
        <v>19</v>
      </c>
      <c r="D3" s="79" t="s">
        <v>66</v>
      </c>
      <c r="E3" s="79" t="s">
        <v>67</v>
      </c>
      <c r="F3" s="79" t="s">
        <v>68</v>
      </c>
      <c r="G3" s="79">
        <v>911181707536</v>
      </c>
      <c r="H3" s="79" t="s">
        <v>22</v>
      </c>
      <c r="I3" s="79" t="s">
        <v>69</v>
      </c>
      <c r="J3" s="83">
        <v>46057</v>
      </c>
      <c r="K3" s="83">
        <v>46078</v>
      </c>
      <c r="L3" s="83">
        <v>46132</v>
      </c>
      <c r="M3" s="79">
        <v>1</v>
      </c>
      <c r="N3" s="79" t="s">
        <v>20</v>
      </c>
      <c r="O3" s="79" t="s">
        <v>46</v>
      </c>
      <c r="P3" s="79" t="s">
        <v>70</v>
      </c>
      <c r="Q3" s="72"/>
    </row>
    <row r="4" spans="1:17">
      <c r="A4" s="79" t="s">
        <v>71</v>
      </c>
      <c r="B4" s="79" t="s">
        <v>72</v>
      </c>
      <c r="C4" s="82"/>
      <c r="D4" s="79" t="s">
        <v>73</v>
      </c>
      <c r="E4" s="79" t="s">
        <v>58</v>
      </c>
      <c r="F4" s="79" t="s">
        <v>74</v>
      </c>
      <c r="G4" s="80" t="s">
        <v>75</v>
      </c>
      <c r="H4" s="79" t="s">
        <v>33</v>
      </c>
      <c r="I4" s="79" t="s">
        <v>62</v>
      </c>
      <c r="J4" s="83">
        <v>46079</v>
      </c>
      <c r="K4" s="83">
        <v>46143</v>
      </c>
      <c r="L4" s="83">
        <v>46257</v>
      </c>
      <c r="M4" s="79">
        <v>6</v>
      </c>
      <c r="N4" s="82"/>
      <c r="O4" s="79" t="s">
        <v>47</v>
      </c>
      <c r="P4" s="79" t="s">
        <v>76</v>
      </c>
      <c r="Q4" s="72"/>
    </row>
    <row r="5" spans="1:17">
      <c r="A5" s="79" t="s">
        <v>77</v>
      </c>
      <c r="B5" s="79" t="s">
        <v>78</v>
      </c>
      <c r="C5" s="79" t="s">
        <v>19</v>
      </c>
      <c r="D5" s="79" t="s">
        <v>79</v>
      </c>
      <c r="E5" s="79" t="s">
        <v>80</v>
      </c>
      <c r="F5" s="79" t="s">
        <v>81</v>
      </c>
      <c r="G5" s="80" t="s">
        <v>82</v>
      </c>
      <c r="H5" s="79" t="s">
        <v>13</v>
      </c>
      <c r="I5" s="79" t="s">
        <v>83</v>
      </c>
      <c r="J5" s="83">
        <v>46233</v>
      </c>
      <c r="K5" s="83">
        <v>46248</v>
      </c>
      <c r="L5" s="83">
        <v>46287</v>
      </c>
      <c r="M5" s="79">
        <v>19</v>
      </c>
      <c r="N5" s="79" t="s">
        <v>27</v>
      </c>
      <c r="O5" s="79" t="s">
        <v>47</v>
      </c>
      <c r="P5" s="79" t="s">
        <v>84</v>
      </c>
      <c r="Q5" s="72"/>
    </row>
    <row r="6" spans="1:17">
      <c r="A6" s="79" t="s">
        <v>85</v>
      </c>
      <c r="B6" s="79" t="s">
        <v>86</v>
      </c>
      <c r="C6" s="79" t="s">
        <v>19</v>
      </c>
      <c r="D6" s="79" t="s">
        <v>87</v>
      </c>
      <c r="E6" s="79" t="s">
        <v>58</v>
      </c>
      <c r="F6" s="79" t="s">
        <v>88</v>
      </c>
      <c r="G6" s="80" t="s">
        <v>89</v>
      </c>
      <c r="H6" s="79" t="s">
        <v>14</v>
      </c>
      <c r="I6" s="79" t="s">
        <v>90</v>
      </c>
      <c r="J6" s="83">
        <v>46199</v>
      </c>
      <c r="K6" s="83">
        <v>46270</v>
      </c>
      <c r="L6" s="83">
        <v>46295</v>
      </c>
      <c r="M6" s="79">
        <v>8</v>
      </c>
      <c r="N6" s="79" t="s">
        <v>20</v>
      </c>
      <c r="O6" s="79" t="s">
        <v>91</v>
      </c>
      <c r="P6" s="79" t="s">
        <v>92</v>
      </c>
      <c r="Q6" s="72"/>
    </row>
    <row r="7" spans="1:17">
      <c r="A7" s="79" t="s">
        <v>93</v>
      </c>
      <c r="B7" s="79" t="s">
        <v>94</v>
      </c>
      <c r="C7" s="79" t="s">
        <v>19</v>
      </c>
      <c r="D7" s="79" t="s">
        <v>95</v>
      </c>
      <c r="E7" s="79" t="s">
        <v>58</v>
      </c>
      <c r="F7" s="79" t="s">
        <v>96</v>
      </c>
      <c r="G7" s="80" t="s">
        <v>97</v>
      </c>
      <c r="H7" s="79" t="s">
        <v>61</v>
      </c>
      <c r="I7" s="79" t="s">
        <v>62</v>
      </c>
      <c r="J7" s="81"/>
      <c r="K7" s="83">
        <v>46249</v>
      </c>
      <c r="L7" s="81"/>
      <c r="M7" s="79">
        <v>2</v>
      </c>
      <c r="N7" s="82"/>
      <c r="O7" s="82"/>
      <c r="P7" s="79" t="s">
        <v>98</v>
      </c>
      <c r="Q7" s="72"/>
    </row>
    <row r="8" spans="1:17">
      <c r="A8" s="79" t="s">
        <v>99</v>
      </c>
      <c r="B8" s="79" t="s">
        <v>100</v>
      </c>
      <c r="C8" s="79" t="s">
        <v>19</v>
      </c>
      <c r="D8" s="79" t="s">
        <v>101</v>
      </c>
      <c r="E8" s="79" t="s">
        <v>80</v>
      </c>
      <c r="F8" s="79" t="s">
        <v>102</v>
      </c>
      <c r="G8" s="80" t="s">
        <v>103</v>
      </c>
      <c r="H8" s="79" t="s">
        <v>13</v>
      </c>
      <c r="I8" s="79" t="s">
        <v>104</v>
      </c>
      <c r="J8" s="83">
        <v>45758</v>
      </c>
      <c r="K8" s="83">
        <v>46294</v>
      </c>
      <c r="L8" s="83">
        <v>46316</v>
      </c>
      <c r="M8" s="82"/>
      <c r="N8" s="79" t="s">
        <v>24</v>
      </c>
      <c r="O8" s="79" t="s">
        <v>105</v>
      </c>
      <c r="P8" s="79" t="s">
        <v>84</v>
      </c>
      <c r="Q8" s="72"/>
    </row>
    <row r="9" spans="1:17">
      <c r="A9" s="79" t="s">
        <v>106</v>
      </c>
      <c r="B9" s="79" t="s">
        <v>107</v>
      </c>
      <c r="C9" s="79" t="s">
        <v>19</v>
      </c>
      <c r="D9" s="79" t="s">
        <v>108</v>
      </c>
      <c r="E9" s="79" t="s">
        <v>80</v>
      </c>
      <c r="F9" s="79" t="s">
        <v>109</v>
      </c>
      <c r="G9" s="80" t="s">
        <v>110</v>
      </c>
      <c r="H9" s="79" t="s">
        <v>29</v>
      </c>
      <c r="I9" s="79" t="s">
        <v>104</v>
      </c>
      <c r="J9" s="83">
        <v>46204</v>
      </c>
      <c r="K9" s="83">
        <v>46280</v>
      </c>
      <c r="L9" s="81"/>
      <c r="M9" s="82"/>
      <c r="N9" s="82"/>
      <c r="O9" s="79" t="s">
        <v>91</v>
      </c>
      <c r="P9" s="79" t="s">
        <v>111</v>
      </c>
      <c r="Q9" s="72"/>
    </row>
    <row r="10" spans="1:17">
      <c r="A10" s="79" t="s">
        <v>112</v>
      </c>
      <c r="B10" s="79" t="s">
        <v>113</v>
      </c>
      <c r="C10" s="79" t="s">
        <v>19</v>
      </c>
      <c r="D10" s="79" t="s">
        <v>114</v>
      </c>
      <c r="E10" s="79" t="s">
        <v>115</v>
      </c>
      <c r="F10" s="82"/>
      <c r="G10" s="80" t="s">
        <v>116</v>
      </c>
      <c r="H10" s="79" t="s">
        <v>61</v>
      </c>
      <c r="I10" s="82"/>
      <c r="J10" s="81"/>
      <c r="K10" s="81"/>
      <c r="L10" s="81"/>
      <c r="M10" s="79">
        <v>0</v>
      </c>
      <c r="N10" s="82"/>
      <c r="O10" s="82"/>
      <c r="P10" s="79" t="s">
        <v>63</v>
      </c>
      <c r="Q10" s="72"/>
    </row>
    <row r="11" spans="1:17">
      <c r="A11" s="79" t="s">
        <v>117</v>
      </c>
      <c r="B11" s="79" t="s">
        <v>118</v>
      </c>
      <c r="C11" s="79" t="s">
        <v>19</v>
      </c>
      <c r="D11" s="79" t="s">
        <v>119</v>
      </c>
      <c r="E11" s="79" t="s">
        <v>67</v>
      </c>
      <c r="F11" s="79" t="s">
        <v>120</v>
      </c>
      <c r="G11" s="80" t="s">
        <v>121</v>
      </c>
      <c r="H11" s="79" t="s">
        <v>22</v>
      </c>
      <c r="I11" s="79" t="s">
        <v>83</v>
      </c>
      <c r="J11" s="83">
        <v>46005</v>
      </c>
      <c r="K11" s="81"/>
      <c r="L11" s="81"/>
      <c r="M11" s="79">
        <v>2</v>
      </c>
      <c r="N11" s="79" t="s">
        <v>24</v>
      </c>
      <c r="O11" s="79" t="s">
        <v>105</v>
      </c>
      <c r="P11" s="79" t="s">
        <v>122</v>
      </c>
      <c r="Q11" s="72"/>
    </row>
    <row r="12" spans="1:17">
      <c r="A12" s="79" t="s">
        <v>123</v>
      </c>
      <c r="B12" s="79" t="s">
        <v>124</v>
      </c>
      <c r="C12" s="79" t="s">
        <v>19</v>
      </c>
      <c r="D12" s="79" t="s">
        <v>125</v>
      </c>
      <c r="E12" s="79" t="s">
        <v>115</v>
      </c>
      <c r="F12" s="79" t="s">
        <v>126</v>
      </c>
      <c r="G12" s="80" t="s">
        <v>127</v>
      </c>
      <c r="H12" s="79" t="s">
        <v>33</v>
      </c>
      <c r="I12" s="79" t="s">
        <v>69</v>
      </c>
      <c r="J12" s="83">
        <v>45891</v>
      </c>
      <c r="K12" s="83">
        <v>46233</v>
      </c>
      <c r="L12" s="83">
        <v>46310</v>
      </c>
      <c r="M12" s="79">
        <v>2</v>
      </c>
      <c r="N12" s="79" t="s">
        <v>20</v>
      </c>
      <c r="O12" s="79" t="s">
        <v>46</v>
      </c>
      <c r="P12" s="79" t="s">
        <v>128</v>
      </c>
      <c r="Q12" s="72"/>
    </row>
    <row r="13" spans="1:17">
      <c r="A13" s="79" t="s">
        <v>129</v>
      </c>
      <c r="B13" s="79" t="s">
        <v>130</v>
      </c>
      <c r="C13" s="79" t="s">
        <v>19</v>
      </c>
      <c r="D13" s="79" t="s">
        <v>131</v>
      </c>
      <c r="E13" s="79" t="s">
        <v>132</v>
      </c>
      <c r="F13" s="79" t="s">
        <v>133</v>
      </c>
      <c r="G13" s="80" t="s">
        <v>134</v>
      </c>
      <c r="H13" s="79" t="s">
        <v>29</v>
      </c>
      <c r="I13" s="79" t="s">
        <v>83</v>
      </c>
      <c r="J13" s="83">
        <v>46096</v>
      </c>
      <c r="K13" s="83">
        <v>46195</v>
      </c>
      <c r="L13" s="83">
        <v>46215</v>
      </c>
      <c r="M13" s="79">
        <v>6</v>
      </c>
      <c r="N13" s="79" t="s">
        <v>24</v>
      </c>
      <c r="O13" s="79" t="s">
        <v>46</v>
      </c>
      <c r="P13" s="79" t="s">
        <v>135</v>
      </c>
      <c r="Q13" s="72"/>
    </row>
    <row r="14" spans="1:17">
      <c r="A14" s="79" t="s">
        <v>136</v>
      </c>
      <c r="B14" s="79" t="s">
        <v>137</v>
      </c>
      <c r="C14" s="79" t="s">
        <v>19</v>
      </c>
      <c r="D14" s="79" t="s">
        <v>138</v>
      </c>
      <c r="E14" s="79" t="s">
        <v>132</v>
      </c>
      <c r="F14" s="79" t="s">
        <v>139</v>
      </c>
      <c r="G14" s="80" t="s">
        <v>140</v>
      </c>
      <c r="H14" s="79" t="s">
        <v>14</v>
      </c>
      <c r="I14" s="79" t="s">
        <v>141</v>
      </c>
      <c r="J14" s="83">
        <v>45696</v>
      </c>
      <c r="K14" s="83">
        <v>46289</v>
      </c>
      <c r="L14" s="83">
        <v>46321</v>
      </c>
      <c r="M14" s="79">
        <v>5</v>
      </c>
      <c r="N14" s="79" t="s">
        <v>24</v>
      </c>
      <c r="O14" s="79" t="s">
        <v>46</v>
      </c>
      <c r="P14" s="79" t="s">
        <v>92</v>
      </c>
      <c r="Q14" s="72"/>
    </row>
    <row r="15" spans="1:17">
      <c r="A15" s="79" t="s">
        <v>142</v>
      </c>
      <c r="B15" s="79" t="s">
        <v>143</v>
      </c>
      <c r="C15" s="79" t="s">
        <v>19</v>
      </c>
      <c r="D15" s="79" t="s">
        <v>144</v>
      </c>
      <c r="E15" s="79" t="s">
        <v>145</v>
      </c>
      <c r="F15" s="79" t="s">
        <v>146</v>
      </c>
      <c r="G15" s="80" t="s">
        <v>147</v>
      </c>
      <c r="H15" s="79" t="s">
        <v>29</v>
      </c>
      <c r="I15" s="79" t="s">
        <v>83</v>
      </c>
      <c r="J15" s="83">
        <v>45917</v>
      </c>
      <c r="K15" s="83">
        <v>46383</v>
      </c>
      <c r="L15" s="81"/>
      <c r="M15" s="79">
        <v>8</v>
      </c>
      <c r="N15" s="79" t="s">
        <v>24</v>
      </c>
      <c r="O15" s="79" t="s">
        <v>47</v>
      </c>
      <c r="P15" s="79" t="s">
        <v>135</v>
      </c>
      <c r="Q15" s="72"/>
    </row>
    <row r="16" spans="1:17">
      <c r="A16" s="79" t="s">
        <v>148</v>
      </c>
      <c r="B16" s="79" t="s">
        <v>149</v>
      </c>
      <c r="C16" s="79" t="s">
        <v>19</v>
      </c>
      <c r="D16" s="79" t="s">
        <v>150</v>
      </c>
      <c r="E16" s="79" t="s">
        <v>58</v>
      </c>
      <c r="F16" s="79" t="s">
        <v>151</v>
      </c>
      <c r="G16" s="80" t="s">
        <v>152</v>
      </c>
      <c r="H16" s="79" t="s">
        <v>14</v>
      </c>
      <c r="I16" s="79" t="s">
        <v>141</v>
      </c>
      <c r="J16" s="83">
        <v>45729</v>
      </c>
      <c r="K16" s="83">
        <v>46269</v>
      </c>
      <c r="L16" s="83">
        <v>46323</v>
      </c>
      <c r="M16" s="79">
        <v>6</v>
      </c>
      <c r="N16" s="79" t="s">
        <v>27</v>
      </c>
      <c r="O16" s="79" t="s">
        <v>91</v>
      </c>
      <c r="P16" s="79" t="s">
        <v>153</v>
      </c>
      <c r="Q16" s="72"/>
    </row>
    <row r="17" spans="1:17">
      <c r="A17" s="79" t="s">
        <v>154</v>
      </c>
      <c r="B17" s="79" t="s">
        <v>155</v>
      </c>
      <c r="C17" s="79" t="s">
        <v>19</v>
      </c>
      <c r="D17" s="79" t="s">
        <v>156</v>
      </c>
      <c r="E17" s="79" t="s">
        <v>157</v>
      </c>
      <c r="F17" s="79" t="s">
        <v>158</v>
      </c>
      <c r="G17" s="82"/>
      <c r="H17" s="79" t="s">
        <v>22</v>
      </c>
      <c r="I17" s="79" t="s">
        <v>141</v>
      </c>
      <c r="J17" s="83">
        <v>45829</v>
      </c>
      <c r="K17" s="83">
        <v>46299</v>
      </c>
      <c r="L17" s="81"/>
      <c r="M17" s="79">
        <v>2</v>
      </c>
      <c r="N17" s="79" t="s">
        <v>20</v>
      </c>
      <c r="O17" s="79" t="s">
        <v>91</v>
      </c>
      <c r="P17" s="79" t="s">
        <v>159</v>
      </c>
      <c r="Q17" s="72"/>
    </row>
    <row r="18" spans="1:17">
      <c r="A18" s="79" t="s">
        <v>160</v>
      </c>
      <c r="B18" s="79" t="s">
        <v>161</v>
      </c>
      <c r="C18" s="82"/>
      <c r="D18" s="79" t="s">
        <v>162</v>
      </c>
      <c r="E18" s="79" t="s">
        <v>132</v>
      </c>
      <c r="F18" s="79" t="s">
        <v>163</v>
      </c>
      <c r="G18" s="80" t="s">
        <v>164</v>
      </c>
      <c r="H18" s="79" t="s">
        <v>61</v>
      </c>
      <c r="I18" s="79" t="s">
        <v>104</v>
      </c>
      <c r="J18" s="81"/>
      <c r="K18" s="81"/>
      <c r="L18" s="81"/>
      <c r="M18" s="79">
        <v>0</v>
      </c>
      <c r="N18" s="82"/>
      <c r="O18" s="82"/>
      <c r="P18" s="79" t="s">
        <v>63</v>
      </c>
      <c r="Q18" s="72"/>
    </row>
    <row r="19" spans="1:17">
      <c r="A19" s="79" t="s">
        <v>165</v>
      </c>
      <c r="B19" s="79" t="s">
        <v>166</v>
      </c>
      <c r="C19" s="79" t="s">
        <v>19</v>
      </c>
      <c r="D19" s="79" t="s">
        <v>167</v>
      </c>
      <c r="E19" s="79" t="s">
        <v>157</v>
      </c>
      <c r="F19" s="79" t="s">
        <v>168</v>
      </c>
      <c r="G19" s="80" t="s">
        <v>169</v>
      </c>
      <c r="H19" s="79" t="s">
        <v>14</v>
      </c>
      <c r="I19" s="79" t="s">
        <v>83</v>
      </c>
      <c r="J19" s="83">
        <v>45681</v>
      </c>
      <c r="K19" s="83">
        <v>46087</v>
      </c>
      <c r="L19" s="83">
        <v>46128</v>
      </c>
      <c r="M19" s="79">
        <v>0</v>
      </c>
      <c r="N19" s="79" t="s">
        <v>24</v>
      </c>
      <c r="O19" s="79" t="s">
        <v>47</v>
      </c>
      <c r="P19" s="79" t="s">
        <v>170</v>
      </c>
      <c r="Q19" s="72"/>
    </row>
    <row r="20" spans="1:17">
      <c r="A20" s="79" t="s">
        <v>171</v>
      </c>
      <c r="B20" s="79" t="s">
        <v>172</v>
      </c>
      <c r="C20" s="79" t="s">
        <v>19</v>
      </c>
      <c r="D20" s="79" t="s">
        <v>173</v>
      </c>
      <c r="E20" s="79" t="s">
        <v>157</v>
      </c>
      <c r="F20" s="79" t="s">
        <v>174</v>
      </c>
      <c r="G20" s="80" t="s">
        <v>175</v>
      </c>
      <c r="H20" s="79" t="s">
        <v>33</v>
      </c>
      <c r="I20" s="79" t="s">
        <v>90</v>
      </c>
      <c r="J20" s="83">
        <v>46168</v>
      </c>
      <c r="K20" s="83">
        <v>46273</v>
      </c>
      <c r="L20" s="83">
        <v>46379</v>
      </c>
      <c r="M20" s="79">
        <v>4</v>
      </c>
      <c r="N20" s="79" t="s">
        <v>20</v>
      </c>
      <c r="O20" s="79" t="s">
        <v>105</v>
      </c>
      <c r="P20" s="79" t="s">
        <v>76</v>
      </c>
      <c r="Q20" s="72"/>
    </row>
    <row r="21" spans="1:17">
      <c r="A21" s="79" t="s">
        <v>176</v>
      </c>
      <c r="B21" s="79" t="s">
        <v>177</v>
      </c>
      <c r="C21" s="79" t="s">
        <v>19</v>
      </c>
      <c r="D21" s="79" t="s">
        <v>95</v>
      </c>
      <c r="E21" s="79" t="s">
        <v>145</v>
      </c>
      <c r="F21" s="79" t="s">
        <v>178</v>
      </c>
      <c r="G21" s="80" t="s">
        <v>179</v>
      </c>
      <c r="H21" s="79" t="s">
        <v>13</v>
      </c>
      <c r="I21" s="79" t="s">
        <v>62</v>
      </c>
      <c r="J21" s="83">
        <v>46002</v>
      </c>
      <c r="K21" s="83">
        <v>46083</v>
      </c>
      <c r="L21" s="83">
        <v>46122</v>
      </c>
      <c r="M21" s="79">
        <v>18</v>
      </c>
      <c r="N21" s="79" t="s">
        <v>27</v>
      </c>
      <c r="O21" s="79" t="s">
        <v>105</v>
      </c>
      <c r="P21" s="79" t="s">
        <v>84</v>
      </c>
      <c r="Q21" s="72"/>
    </row>
    <row r="22" spans="1:17">
      <c r="A22" s="79" t="s">
        <v>180</v>
      </c>
      <c r="B22" s="79" t="s">
        <v>181</v>
      </c>
      <c r="C22" s="82"/>
      <c r="D22" s="79" t="s">
        <v>182</v>
      </c>
      <c r="E22" s="79" t="s">
        <v>58</v>
      </c>
      <c r="F22" s="79" t="s">
        <v>183</v>
      </c>
      <c r="G22" s="80" t="s">
        <v>184</v>
      </c>
      <c r="H22" s="79" t="s">
        <v>29</v>
      </c>
      <c r="I22" s="79" t="s">
        <v>83</v>
      </c>
      <c r="J22" s="83">
        <v>45820</v>
      </c>
      <c r="K22" s="83">
        <v>46252</v>
      </c>
      <c r="L22" s="83">
        <v>46280</v>
      </c>
      <c r="M22" s="79">
        <v>8</v>
      </c>
      <c r="N22" s="79" t="s">
        <v>24</v>
      </c>
      <c r="O22" s="79" t="s">
        <v>185</v>
      </c>
      <c r="P22" s="79" t="s">
        <v>135</v>
      </c>
      <c r="Q22" s="72"/>
    </row>
    <row r="23" spans="1:17">
      <c r="A23" s="79" t="s">
        <v>186</v>
      </c>
      <c r="B23" s="79" t="s">
        <v>187</v>
      </c>
      <c r="C23" s="79" t="s">
        <v>26</v>
      </c>
      <c r="D23" s="79" t="s">
        <v>188</v>
      </c>
      <c r="E23" s="79" t="s">
        <v>115</v>
      </c>
      <c r="F23" s="79" t="s">
        <v>189</v>
      </c>
      <c r="G23" s="80" t="s">
        <v>190</v>
      </c>
      <c r="H23" s="79" t="s">
        <v>13</v>
      </c>
      <c r="I23" s="79" t="s">
        <v>104</v>
      </c>
      <c r="J23" s="83">
        <v>45945</v>
      </c>
      <c r="K23" s="83">
        <v>46253</v>
      </c>
      <c r="L23" s="83">
        <v>46275</v>
      </c>
      <c r="M23" s="79">
        <v>0</v>
      </c>
      <c r="N23" s="82"/>
      <c r="O23" s="79" t="s">
        <v>185</v>
      </c>
      <c r="P23" s="79" t="s">
        <v>191</v>
      </c>
      <c r="Q23" s="72"/>
    </row>
    <row r="24" spans="1:17">
      <c r="A24" s="79" t="s">
        <v>192</v>
      </c>
      <c r="B24" s="79" t="s">
        <v>193</v>
      </c>
      <c r="C24" s="79" t="s">
        <v>26</v>
      </c>
      <c r="D24" s="79" t="s">
        <v>156</v>
      </c>
      <c r="E24" s="79" t="s">
        <v>115</v>
      </c>
      <c r="F24" s="79" t="s">
        <v>194</v>
      </c>
      <c r="G24" s="80" t="s">
        <v>195</v>
      </c>
      <c r="H24" s="79" t="s">
        <v>13</v>
      </c>
      <c r="I24" s="79" t="s">
        <v>104</v>
      </c>
      <c r="J24" s="83">
        <v>45769</v>
      </c>
      <c r="K24" s="83">
        <v>46292</v>
      </c>
      <c r="L24" s="83">
        <v>46335</v>
      </c>
      <c r="M24" s="79">
        <v>8</v>
      </c>
      <c r="N24" s="79" t="s">
        <v>27</v>
      </c>
      <c r="O24" s="79" t="s">
        <v>46</v>
      </c>
      <c r="P24" s="79" t="s">
        <v>196</v>
      </c>
      <c r="Q24" s="72"/>
    </row>
    <row r="25" spans="1:17">
      <c r="A25" s="79" t="s">
        <v>197</v>
      </c>
      <c r="B25" s="79" t="s">
        <v>198</v>
      </c>
      <c r="C25" s="79" t="s">
        <v>26</v>
      </c>
      <c r="D25" s="79" t="s">
        <v>199</v>
      </c>
      <c r="E25" s="79" t="s">
        <v>80</v>
      </c>
      <c r="F25" s="79" t="s">
        <v>200</v>
      </c>
      <c r="G25" s="80" t="s">
        <v>201</v>
      </c>
      <c r="H25" s="79" t="s">
        <v>22</v>
      </c>
      <c r="I25" s="82"/>
      <c r="J25" s="83">
        <v>46172</v>
      </c>
      <c r="K25" s="83">
        <v>46173</v>
      </c>
      <c r="L25" s="83">
        <v>46228</v>
      </c>
      <c r="M25" s="79">
        <v>2</v>
      </c>
      <c r="N25" s="79" t="s">
        <v>24</v>
      </c>
      <c r="O25" s="79" t="s">
        <v>185</v>
      </c>
      <c r="P25" s="79" t="s">
        <v>70</v>
      </c>
      <c r="Q25" s="72"/>
    </row>
    <row r="26" spans="1:17">
      <c r="A26" s="79" t="s">
        <v>202</v>
      </c>
      <c r="B26" s="79" t="s">
        <v>203</v>
      </c>
      <c r="C26" s="79" t="s">
        <v>26</v>
      </c>
      <c r="D26" s="79" t="s">
        <v>204</v>
      </c>
      <c r="E26" s="79" t="s">
        <v>80</v>
      </c>
      <c r="F26" s="79" t="s">
        <v>205</v>
      </c>
      <c r="G26" s="80" t="s">
        <v>206</v>
      </c>
      <c r="H26" s="79" t="s">
        <v>22</v>
      </c>
      <c r="I26" s="79" t="s">
        <v>69</v>
      </c>
      <c r="J26" s="83">
        <v>45997</v>
      </c>
      <c r="K26" s="83">
        <v>46246</v>
      </c>
      <c r="L26" s="83">
        <v>46271</v>
      </c>
      <c r="M26" s="79">
        <v>1</v>
      </c>
      <c r="N26" s="79" t="s">
        <v>24</v>
      </c>
      <c r="O26" s="79" t="s">
        <v>185</v>
      </c>
      <c r="P26" s="79" t="s">
        <v>159</v>
      </c>
      <c r="Q26" s="72"/>
    </row>
    <row r="27" spans="1:17">
      <c r="A27" s="79" t="s">
        <v>207</v>
      </c>
      <c r="B27" s="79" t="s">
        <v>208</v>
      </c>
      <c r="C27" s="79" t="s">
        <v>26</v>
      </c>
      <c r="D27" s="79" t="s">
        <v>209</v>
      </c>
      <c r="E27" s="79" t="s">
        <v>58</v>
      </c>
      <c r="F27" s="79" t="s">
        <v>210</v>
      </c>
      <c r="G27" s="80" t="s">
        <v>211</v>
      </c>
      <c r="H27" s="79" t="s">
        <v>39</v>
      </c>
      <c r="I27" s="79" t="s">
        <v>141</v>
      </c>
      <c r="J27" s="83">
        <v>45811</v>
      </c>
      <c r="K27" s="83">
        <v>46216</v>
      </c>
      <c r="L27" s="81"/>
      <c r="M27" s="79">
        <v>2</v>
      </c>
      <c r="N27" s="79" t="s">
        <v>20</v>
      </c>
      <c r="O27" s="79" t="s">
        <v>46</v>
      </c>
      <c r="P27" s="79" t="s">
        <v>212</v>
      </c>
      <c r="Q27" s="72"/>
    </row>
    <row r="28" spans="1:17">
      <c r="A28" s="79" t="s">
        <v>213</v>
      </c>
      <c r="B28" s="79" t="s">
        <v>214</v>
      </c>
      <c r="C28" s="79" t="s">
        <v>26</v>
      </c>
      <c r="D28" s="79" t="s">
        <v>215</v>
      </c>
      <c r="E28" s="79" t="s">
        <v>115</v>
      </c>
      <c r="F28" s="79" t="s">
        <v>216</v>
      </c>
      <c r="G28" s="80" t="s">
        <v>217</v>
      </c>
      <c r="H28" s="79" t="s">
        <v>13</v>
      </c>
      <c r="I28" s="79" t="s">
        <v>69</v>
      </c>
      <c r="J28" s="83">
        <v>46140</v>
      </c>
      <c r="K28" s="83">
        <v>46277</v>
      </c>
      <c r="L28" s="83">
        <v>46294</v>
      </c>
      <c r="M28" s="79">
        <v>12</v>
      </c>
      <c r="N28" s="79" t="s">
        <v>27</v>
      </c>
      <c r="O28" s="79" t="s">
        <v>105</v>
      </c>
      <c r="P28" s="79" t="s">
        <v>218</v>
      </c>
      <c r="Q28" s="72"/>
    </row>
    <row r="29" spans="1:17">
      <c r="A29" s="79" t="s">
        <v>219</v>
      </c>
      <c r="B29" s="79" t="s">
        <v>220</v>
      </c>
      <c r="C29" s="79" t="s">
        <v>26</v>
      </c>
      <c r="D29" s="79" t="s">
        <v>221</v>
      </c>
      <c r="E29" s="79" t="s">
        <v>67</v>
      </c>
      <c r="F29" s="79" t="s">
        <v>222</v>
      </c>
      <c r="G29" s="80" t="s">
        <v>223</v>
      </c>
      <c r="H29" s="79" t="s">
        <v>61</v>
      </c>
      <c r="I29" s="79" t="s">
        <v>62</v>
      </c>
      <c r="J29" s="81"/>
      <c r="K29" s="83">
        <v>46199</v>
      </c>
      <c r="L29" s="81"/>
      <c r="M29" s="79">
        <v>1</v>
      </c>
      <c r="N29" s="82"/>
      <c r="O29" s="82"/>
      <c r="P29" s="79" t="s">
        <v>98</v>
      </c>
      <c r="Q29" s="72"/>
    </row>
    <row r="30" spans="1:17">
      <c r="A30" s="79" t="s">
        <v>224</v>
      </c>
      <c r="B30" s="79" t="s">
        <v>225</v>
      </c>
      <c r="C30" s="79" t="s">
        <v>26</v>
      </c>
      <c r="D30" s="79" t="s">
        <v>226</v>
      </c>
      <c r="E30" s="79" t="s">
        <v>115</v>
      </c>
      <c r="F30" s="79" t="s">
        <v>227</v>
      </c>
      <c r="G30" s="80" t="s">
        <v>228</v>
      </c>
      <c r="H30" s="79" t="s">
        <v>14</v>
      </c>
      <c r="I30" s="79" t="s">
        <v>83</v>
      </c>
      <c r="J30" s="83">
        <v>46053</v>
      </c>
      <c r="K30" s="83">
        <v>46272</v>
      </c>
      <c r="L30" s="83">
        <v>46313</v>
      </c>
      <c r="M30" s="79">
        <v>6</v>
      </c>
      <c r="N30" s="79" t="s">
        <v>24</v>
      </c>
      <c r="O30" s="79" t="s">
        <v>46</v>
      </c>
      <c r="P30" s="79" t="s">
        <v>170</v>
      </c>
      <c r="Q30" s="72"/>
    </row>
    <row r="31" spans="1:17">
      <c r="A31" s="79" t="s">
        <v>229</v>
      </c>
      <c r="B31" s="79" t="s">
        <v>230</v>
      </c>
      <c r="C31" s="79" t="s">
        <v>26</v>
      </c>
      <c r="D31" s="79" t="s">
        <v>231</v>
      </c>
      <c r="E31" s="79" t="s">
        <v>157</v>
      </c>
      <c r="F31" s="79" t="s">
        <v>232</v>
      </c>
      <c r="G31" s="80" t="s">
        <v>233</v>
      </c>
      <c r="H31" s="79" t="s">
        <v>33</v>
      </c>
      <c r="I31" s="79" t="s">
        <v>83</v>
      </c>
      <c r="J31" s="83">
        <v>46232</v>
      </c>
      <c r="K31" s="83">
        <v>46241</v>
      </c>
      <c r="L31" s="83">
        <v>46348</v>
      </c>
      <c r="M31" s="79">
        <v>6</v>
      </c>
      <c r="N31" s="79" t="s">
        <v>20</v>
      </c>
      <c r="O31" s="79" t="s">
        <v>105</v>
      </c>
      <c r="P31" s="79" t="s">
        <v>234</v>
      </c>
      <c r="Q31" s="72"/>
    </row>
    <row r="32" spans="1:17">
      <c r="A32" s="79" t="s">
        <v>235</v>
      </c>
      <c r="B32" s="79" t="s">
        <v>236</v>
      </c>
      <c r="C32" s="79" t="s">
        <v>26</v>
      </c>
      <c r="D32" s="79" t="s">
        <v>237</v>
      </c>
      <c r="E32" s="79" t="s">
        <v>145</v>
      </c>
      <c r="F32" s="79" t="s">
        <v>238</v>
      </c>
      <c r="G32" s="80" t="s">
        <v>239</v>
      </c>
      <c r="H32" s="79" t="s">
        <v>29</v>
      </c>
      <c r="I32" s="79" t="s">
        <v>69</v>
      </c>
      <c r="J32" s="83">
        <v>46210</v>
      </c>
      <c r="K32" s="83">
        <v>46218</v>
      </c>
      <c r="L32" s="83">
        <v>46250</v>
      </c>
      <c r="M32" s="79">
        <v>8</v>
      </c>
      <c r="N32" s="82"/>
      <c r="O32" s="79" t="s">
        <v>47</v>
      </c>
      <c r="P32" s="79" t="s">
        <v>240</v>
      </c>
      <c r="Q32" s="72"/>
    </row>
    <row r="33" spans="1:17">
      <c r="A33" s="79" t="s">
        <v>241</v>
      </c>
      <c r="B33" s="79" t="s">
        <v>242</v>
      </c>
      <c r="C33" s="79" t="s">
        <v>26</v>
      </c>
      <c r="D33" s="79" t="s">
        <v>243</v>
      </c>
      <c r="E33" s="79" t="s">
        <v>132</v>
      </c>
      <c r="F33" s="79" t="s">
        <v>244</v>
      </c>
      <c r="G33" s="80" t="s">
        <v>245</v>
      </c>
      <c r="H33" s="79" t="s">
        <v>14</v>
      </c>
      <c r="I33" s="79" t="s">
        <v>141</v>
      </c>
      <c r="J33" s="83">
        <v>46205</v>
      </c>
      <c r="K33" s="81"/>
      <c r="L33" s="83">
        <v>46307</v>
      </c>
      <c r="M33" s="79">
        <v>5</v>
      </c>
      <c r="N33" s="79" t="s">
        <v>24</v>
      </c>
      <c r="O33" s="79" t="s">
        <v>47</v>
      </c>
      <c r="P33" s="79" t="s">
        <v>246</v>
      </c>
      <c r="Q33" s="72"/>
    </row>
    <row r="34" spans="1:17">
      <c r="A34" s="79" t="s">
        <v>247</v>
      </c>
      <c r="B34" s="79" t="s">
        <v>248</v>
      </c>
      <c r="C34" s="79" t="s">
        <v>26</v>
      </c>
      <c r="D34" s="79" t="s">
        <v>249</v>
      </c>
      <c r="E34" s="79" t="s">
        <v>132</v>
      </c>
      <c r="F34" s="79" t="s">
        <v>250</v>
      </c>
      <c r="G34" s="80" t="s">
        <v>251</v>
      </c>
      <c r="H34" s="79" t="s">
        <v>252</v>
      </c>
      <c r="I34" s="79" t="s">
        <v>83</v>
      </c>
      <c r="J34" s="83">
        <v>46065</v>
      </c>
      <c r="K34" s="83">
        <v>46236</v>
      </c>
      <c r="L34" s="83" t="s">
        <v>253</v>
      </c>
      <c r="M34" s="79">
        <v>5</v>
      </c>
      <c r="N34" s="79" t="s">
        <v>24</v>
      </c>
      <c r="O34" s="79" t="s">
        <v>185</v>
      </c>
      <c r="P34" s="79" t="s">
        <v>170</v>
      </c>
      <c r="Q34" s="72"/>
    </row>
    <row r="35" spans="1:17">
      <c r="A35" s="79" t="s">
        <v>254</v>
      </c>
      <c r="B35" s="79" t="s">
        <v>255</v>
      </c>
      <c r="C35" s="79" t="s">
        <v>26</v>
      </c>
      <c r="D35" s="79" t="s">
        <v>256</v>
      </c>
      <c r="E35" s="79" t="s">
        <v>58</v>
      </c>
      <c r="F35" s="79" t="s">
        <v>257</v>
      </c>
      <c r="G35" s="80" t="s">
        <v>258</v>
      </c>
      <c r="H35" s="79" t="s">
        <v>14</v>
      </c>
      <c r="I35" s="82"/>
      <c r="J35" s="83">
        <v>46097</v>
      </c>
      <c r="K35" s="83">
        <v>46299</v>
      </c>
      <c r="L35" s="83">
        <v>46328</v>
      </c>
      <c r="M35" s="79">
        <v>3</v>
      </c>
      <c r="N35" s="79" t="s">
        <v>20</v>
      </c>
      <c r="O35" s="79" t="s">
        <v>46</v>
      </c>
      <c r="P35" s="79" t="s">
        <v>191</v>
      </c>
      <c r="Q35" s="72"/>
    </row>
    <row r="36" spans="1:17">
      <c r="A36" s="79" t="s">
        <v>259</v>
      </c>
      <c r="B36" s="79" t="s">
        <v>260</v>
      </c>
      <c r="C36" s="79" t="s">
        <v>34</v>
      </c>
      <c r="D36" s="79" t="s">
        <v>261</v>
      </c>
      <c r="E36" s="79" t="s">
        <v>115</v>
      </c>
      <c r="F36" s="79" t="s">
        <v>262</v>
      </c>
      <c r="G36" s="80" t="s">
        <v>263</v>
      </c>
      <c r="H36" s="79" t="s">
        <v>33</v>
      </c>
      <c r="I36" s="79" t="s">
        <v>141</v>
      </c>
      <c r="J36" s="83">
        <v>45720</v>
      </c>
      <c r="K36" s="83">
        <v>46294</v>
      </c>
      <c r="L36" s="83">
        <v>46395</v>
      </c>
      <c r="M36" s="79">
        <v>4</v>
      </c>
      <c r="N36" s="79" t="s">
        <v>20</v>
      </c>
      <c r="O36" s="79" t="s">
        <v>46</v>
      </c>
      <c r="P36" s="79" t="s">
        <v>76</v>
      </c>
      <c r="Q36" s="72"/>
    </row>
    <row r="37" spans="1:17">
      <c r="A37" s="79" t="s">
        <v>264</v>
      </c>
      <c r="B37" s="79" t="s">
        <v>265</v>
      </c>
      <c r="C37" s="79" t="s">
        <v>34</v>
      </c>
      <c r="D37" s="79" t="s">
        <v>266</v>
      </c>
      <c r="E37" s="79" t="s">
        <v>132</v>
      </c>
      <c r="F37" s="79" t="s">
        <v>267</v>
      </c>
      <c r="G37" s="80" t="s">
        <v>268</v>
      </c>
      <c r="H37" s="79" t="s">
        <v>29</v>
      </c>
      <c r="I37" s="79" t="s">
        <v>104</v>
      </c>
      <c r="J37" s="83">
        <v>45687</v>
      </c>
      <c r="K37" s="83">
        <v>46282</v>
      </c>
      <c r="L37" s="83">
        <v>46301</v>
      </c>
      <c r="M37" s="79">
        <v>8</v>
      </c>
      <c r="N37" s="79" t="s">
        <v>27</v>
      </c>
      <c r="O37" s="79" t="s">
        <v>91</v>
      </c>
      <c r="P37" s="79" t="s">
        <v>111</v>
      </c>
      <c r="Q37" s="72"/>
    </row>
    <row r="38" spans="1:17">
      <c r="A38" s="79" t="s">
        <v>269</v>
      </c>
      <c r="B38" s="79" t="s">
        <v>270</v>
      </c>
      <c r="C38" s="79" t="s">
        <v>34</v>
      </c>
      <c r="D38" s="79" t="s">
        <v>271</v>
      </c>
      <c r="E38" s="79" t="s">
        <v>157</v>
      </c>
      <c r="F38" s="79" t="s">
        <v>272</v>
      </c>
      <c r="G38" s="80" t="s">
        <v>273</v>
      </c>
      <c r="H38" s="79" t="s">
        <v>13</v>
      </c>
      <c r="I38" s="79" t="s">
        <v>83</v>
      </c>
      <c r="J38" s="83">
        <v>45814</v>
      </c>
      <c r="K38" s="83">
        <v>46287</v>
      </c>
      <c r="L38" s="83">
        <v>46306</v>
      </c>
      <c r="M38" s="79">
        <v>16</v>
      </c>
      <c r="N38" s="79" t="s">
        <v>27</v>
      </c>
      <c r="O38" s="79" t="s">
        <v>185</v>
      </c>
      <c r="P38" s="79" t="s">
        <v>196</v>
      </c>
      <c r="Q38" s="72"/>
    </row>
    <row r="39" spans="1:17">
      <c r="A39" s="79" t="s">
        <v>274</v>
      </c>
      <c r="B39" s="79" t="s">
        <v>275</v>
      </c>
      <c r="C39" s="79" t="s">
        <v>34</v>
      </c>
      <c r="D39" s="79" t="s">
        <v>276</v>
      </c>
      <c r="E39" s="79" t="s">
        <v>115</v>
      </c>
      <c r="F39" s="79" t="s">
        <v>277</v>
      </c>
      <c r="G39" s="80" t="s">
        <v>278</v>
      </c>
      <c r="H39" s="79" t="s">
        <v>22</v>
      </c>
      <c r="I39" s="79" t="s">
        <v>104</v>
      </c>
      <c r="J39" s="83">
        <v>45771</v>
      </c>
      <c r="K39" s="83">
        <v>46332</v>
      </c>
      <c r="L39" s="83">
        <v>46308</v>
      </c>
      <c r="M39" s="79">
        <v>2</v>
      </c>
      <c r="N39" s="79" t="s">
        <v>20</v>
      </c>
      <c r="O39" s="79" t="s">
        <v>91</v>
      </c>
      <c r="P39" s="79" t="s">
        <v>159</v>
      </c>
      <c r="Q39" s="72"/>
    </row>
    <row r="40" spans="1:17">
      <c r="A40" s="79" t="s">
        <v>279</v>
      </c>
      <c r="B40" s="79" t="s">
        <v>280</v>
      </c>
      <c r="C40" s="79" t="s">
        <v>34</v>
      </c>
      <c r="D40" s="79" t="s">
        <v>173</v>
      </c>
      <c r="E40" s="79" t="s">
        <v>145</v>
      </c>
      <c r="F40" s="79" t="s">
        <v>281</v>
      </c>
      <c r="G40" s="80" t="s">
        <v>282</v>
      </c>
      <c r="H40" s="79" t="s">
        <v>14</v>
      </c>
      <c r="I40" s="82"/>
      <c r="J40" s="83">
        <v>45928</v>
      </c>
      <c r="K40" s="83">
        <v>46280</v>
      </c>
      <c r="L40" s="83">
        <v>46320</v>
      </c>
      <c r="M40" s="79">
        <v>5</v>
      </c>
      <c r="N40" s="82"/>
      <c r="O40" s="79" t="s">
        <v>185</v>
      </c>
      <c r="P40" s="79" t="s">
        <v>153</v>
      </c>
      <c r="Q40" s="72"/>
    </row>
    <row r="41" spans="1:17">
      <c r="A41" s="79" t="s">
        <v>283</v>
      </c>
      <c r="B41" s="79" t="s">
        <v>284</v>
      </c>
      <c r="C41" s="79" t="s">
        <v>34</v>
      </c>
      <c r="D41" s="79" t="s">
        <v>276</v>
      </c>
      <c r="E41" s="79" t="s">
        <v>145</v>
      </c>
      <c r="F41" s="79" t="s">
        <v>285</v>
      </c>
      <c r="G41" s="80" t="s">
        <v>286</v>
      </c>
      <c r="H41" s="79" t="s">
        <v>287</v>
      </c>
      <c r="I41" s="79" t="s">
        <v>104</v>
      </c>
      <c r="J41" s="83">
        <v>46227</v>
      </c>
      <c r="K41" s="83">
        <v>46245</v>
      </c>
      <c r="L41" s="81"/>
      <c r="M41" s="79">
        <v>20</v>
      </c>
      <c r="N41" s="79" t="s">
        <v>27</v>
      </c>
      <c r="O41" s="79" t="s">
        <v>46</v>
      </c>
      <c r="P41" s="79" t="s">
        <v>84</v>
      </c>
      <c r="Q41" s="72"/>
    </row>
    <row r="42" spans="1:17">
      <c r="A42" s="79" t="s">
        <v>288</v>
      </c>
      <c r="B42" s="79" t="s">
        <v>289</v>
      </c>
      <c r="C42" s="79" t="s">
        <v>34</v>
      </c>
      <c r="D42" s="79" t="s">
        <v>215</v>
      </c>
      <c r="E42" s="79" t="s">
        <v>67</v>
      </c>
      <c r="F42" s="79" t="s">
        <v>290</v>
      </c>
      <c r="G42" s="79">
        <v>1157094098</v>
      </c>
      <c r="H42" s="79" t="s">
        <v>33</v>
      </c>
      <c r="I42" s="79" t="s">
        <v>62</v>
      </c>
      <c r="J42" s="83">
        <v>46095</v>
      </c>
      <c r="K42" s="83">
        <v>46277</v>
      </c>
      <c r="L42" s="83">
        <v>46377</v>
      </c>
      <c r="M42" s="79">
        <v>6</v>
      </c>
      <c r="N42" s="82"/>
      <c r="O42" s="79" t="s">
        <v>47</v>
      </c>
      <c r="P42" s="79" t="s">
        <v>76</v>
      </c>
      <c r="Q42" s="72"/>
    </row>
    <row r="43" spans="1:17">
      <c r="A43" s="79" t="s">
        <v>291</v>
      </c>
      <c r="B43" s="79" t="s">
        <v>292</v>
      </c>
      <c r="C43" s="79" t="s">
        <v>34</v>
      </c>
      <c r="D43" s="79" t="s">
        <v>293</v>
      </c>
      <c r="E43" s="79" t="s">
        <v>157</v>
      </c>
      <c r="F43" s="79" t="s">
        <v>294</v>
      </c>
      <c r="G43" s="80" t="s">
        <v>295</v>
      </c>
      <c r="H43" s="79" t="s">
        <v>14</v>
      </c>
      <c r="I43" s="79" t="s">
        <v>83</v>
      </c>
      <c r="J43" s="83">
        <v>46156</v>
      </c>
      <c r="K43" s="83">
        <v>46169</v>
      </c>
      <c r="L43" s="83">
        <v>46210</v>
      </c>
      <c r="M43" s="79">
        <v>5</v>
      </c>
      <c r="N43" s="79" t="s">
        <v>24</v>
      </c>
      <c r="O43" s="79" t="s">
        <v>47</v>
      </c>
      <c r="P43" s="79" t="s">
        <v>92</v>
      </c>
      <c r="Q43" s="72"/>
    </row>
    <row r="44" spans="1:17">
      <c r="A44" s="79" t="s">
        <v>296</v>
      </c>
      <c r="B44" s="79" t="s">
        <v>297</v>
      </c>
      <c r="C44" s="82"/>
      <c r="D44" s="79" t="s">
        <v>298</v>
      </c>
      <c r="E44" s="79" t="s">
        <v>132</v>
      </c>
      <c r="F44" s="79" t="s">
        <v>299</v>
      </c>
      <c r="G44" s="80" t="s">
        <v>300</v>
      </c>
      <c r="H44" s="79" t="s">
        <v>33</v>
      </c>
      <c r="I44" s="79" t="s">
        <v>141</v>
      </c>
      <c r="J44" s="83">
        <v>45867</v>
      </c>
      <c r="K44" s="83">
        <v>46068</v>
      </c>
      <c r="L44" s="83">
        <v>46183</v>
      </c>
      <c r="M44" s="79">
        <v>2</v>
      </c>
      <c r="N44" s="79" t="s">
        <v>20</v>
      </c>
      <c r="O44" s="79" t="s">
        <v>46</v>
      </c>
      <c r="P44" s="79" t="s">
        <v>234</v>
      </c>
      <c r="Q44" s="72"/>
    </row>
    <row r="45" spans="1:17">
      <c r="A45" s="79" t="s">
        <v>301</v>
      </c>
      <c r="B45" s="79" t="s">
        <v>302</v>
      </c>
      <c r="C45" s="79" t="s">
        <v>34</v>
      </c>
      <c r="D45" s="79" t="s">
        <v>303</v>
      </c>
      <c r="E45" s="79" t="s">
        <v>145</v>
      </c>
      <c r="F45" s="79" t="s">
        <v>304</v>
      </c>
      <c r="G45" s="79">
        <v>911177617</v>
      </c>
      <c r="H45" s="79" t="s">
        <v>39</v>
      </c>
      <c r="I45" s="79" t="s">
        <v>69</v>
      </c>
      <c r="J45" s="83">
        <v>45772</v>
      </c>
      <c r="K45" s="83">
        <v>46105</v>
      </c>
      <c r="L45" s="81"/>
      <c r="M45" s="79">
        <v>2</v>
      </c>
      <c r="N45" s="79" t="s">
        <v>20</v>
      </c>
      <c r="O45" s="79" t="s">
        <v>185</v>
      </c>
      <c r="P45" s="79" t="s">
        <v>305</v>
      </c>
      <c r="Q45" s="72"/>
    </row>
    <row r="46" spans="1:17">
      <c r="A46" s="79" t="s">
        <v>306</v>
      </c>
      <c r="B46" s="79" t="s">
        <v>307</v>
      </c>
      <c r="C46" s="79" t="s">
        <v>23</v>
      </c>
      <c r="D46" s="79" t="s">
        <v>308</v>
      </c>
      <c r="E46" s="79" t="s">
        <v>145</v>
      </c>
      <c r="F46" s="79" t="s">
        <v>309</v>
      </c>
      <c r="G46" s="80" t="s">
        <v>310</v>
      </c>
      <c r="H46" s="79" t="s">
        <v>13</v>
      </c>
      <c r="I46" s="79" t="s">
        <v>62</v>
      </c>
      <c r="J46" s="83">
        <v>45911</v>
      </c>
      <c r="K46" s="83">
        <v>46231</v>
      </c>
      <c r="L46" s="83">
        <v>46278</v>
      </c>
      <c r="M46" s="79">
        <v>10</v>
      </c>
      <c r="N46" s="79" t="s">
        <v>27</v>
      </c>
      <c r="O46" s="79" t="s">
        <v>46</v>
      </c>
      <c r="P46" s="79" t="s">
        <v>84</v>
      </c>
      <c r="Q46" s="72"/>
    </row>
    <row r="47" spans="1:17">
      <c r="A47" s="79" t="s">
        <v>311</v>
      </c>
      <c r="B47" s="79" t="s">
        <v>312</v>
      </c>
      <c r="C47" s="79" t="s">
        <v>34</v>
      </c>
      <c r="D47" s="79" t="s">
        <v>313</v>
      </c>
      <c r="E47" s="79" t="s">
        <v>132</v>
      </c>
      <c r="F47" s="79" t="s">
        <v>314</v>
      </c>
      <c r="G47" s="80" t="s">
        <v>315</v>
      </c>
      <c r="H47" s="79" t="s">
        <v>39</v>
      </c>
      <c r="I47" s="79" t="s">
        <v>104</v>
      </c>
      <c r="J47" s="83">
        <v>46235</v>
      </c>
      <c r="K47" s="83">
        <v>46017</v>
      </c>
      <c r="L47" s="81"/>
      <c r="M47" s="82"/>
      <c r="N47" s="79" t="s">
        <v>20</v>
      </c>
      <c r="O47" s="79" t="s">
        <v>91</v>
      </c>
      <c r="P47" s="79" t="s">
        <v>305</v>
      </c>
      <c r="Q47" s="72"/>
    </row>
    <row r="48" spans="1:17">
      <c r="A48" s="79" t="s">
        <v>316</v>
      </c>
      <c r="B48" s="79" t="s">
        <v>317</v>
      </c>
      <c r="C48" s="79" t="s">
        <v>34</v>
      </c>
      <c r="D48" s="79" t="s">
        <v>95</v>
      </c>
      <c r="E48" s="79" t="s">
        <v>132</v>
      </c>
      <c r="F48" s="79" t="s">
        <v>318</v>
      </c>
      <c r="G48" s="80" t="s">
        <v>319</v>
      </c>
      <c r="H48" s="79" t="s">
        <v>13</v>
      </c>
      <c r="I48" s="79" t="s">
        <v>69</v>
      </c>
      <c r="J48" s="83">
        <v>46149</v>
      </c>
      <c r="K48" s="81"/>
      <c r="L48" s="83">
        <v>46358</v>
      </c>
      <c r="M48" s="79">
        <v>0</v>
      </c>
      <c r="N48" s="79" t="s">
        <v>27</v>
      </c>
      <c r="O48" s="79" t="s">
        <v>91</v>
      </c>
      <c r="P48" s="79" t="s">
        <v>320</v>
      </c>
      <c r="Q48" s="72"/>
    </row>
    <row r="49" spans="1:17">
      <c r="A49" s="79" t="s">
        <v>321</v>
      </c>
      <c r="B49" s="79" t="s">
        <v>322</v>
      </c>
      <c r="C49" s="79" t="s">
        <v>19</v>
      </c>
      <c r="D49" s="79" t="s">
        <v>323</v>
      </c>
      <c r="E49" s="79" t="s">
        <v>115</v>
      </c>
      <c r="F49" s="82"/>
      <c r="G49" s="80" t="s">
        <v>324</v>
      </c>
      <c r="H49" s="79" t="s">
        <v>22</v>
      </c>
      <c r="I49" s="79" t="s">
        <v>62</v>
      </c>
      <c r="J49" s="83">
        <v>45968</v>
      </c>
      <c r="K49" s="83">
        <v>46272</v>
      </c>
      <c r="L49" s="83">
        <v>46312</v>
      </c>
      <c r="M49" s="79">
        <v>1</v>
      </c>
      <c r="N49" s="79" t="s">
        <v>24</v>
      </c>
      <c r="O49" s="79" t="s">
        <v>47</v>
      </c>
      <c r="P49" s="79" t="s">
        <v>325</v>
      </c>
      <c r="Q49" s="72"/>
    </row>
    <row r="50" spans="1:17">
      <c r="A50" s="79" t="s">
        <v>326</v>
      </c>
      <c r="B50" s="79" t="s">
        <v>327</v>
      </c>
      <c r="C50" s="79" t="s">
        <v>23</v>
      </c>
      <c r="D50" s="79" t="s">
        <v>328</v>
      </c>
      <c r="E50" s="79" t="s">
        <v>157</v>
      </c>
      <c r="F50" s="79" t="s">
        <v>329</v>
      </c>
      <c r="G50" s="80" t="s">
        <v>330</v>
      </c>
      <c r="H50" s="79" t="s">
        <v>33</v>
      </c>
      <c r="I50" s="79" t="s">
        <v>69</v>
      </c>
      <c r="J50" s="83">
        <v>46221</v>
      </c>
      <c r="K50" s="83">
        <v>46287</v>
      </c>
      <c r="L50" s="83">
        <v>46392</v>
      </c>
      <c r="M50" s="82"/>
      <c r="N50" s="79" t="s">
        <v>20</v>
      </c>
      <c r="O50" s="79" t="s">
        <v>105</v>
      </c>
      <c r="P50" s="79" t="s">
        <v>128</v>
      </c>
      <c r="Q50" s="72"/>
    </row>
    <row r="51" spans="1:17">
      <c r="A51" s="79" t="s">
        <v>331</v>
      </c>
      <c r="B51" s="79" t="s">
        <v>332</v>
      </c>
      <c r="C51" s="79" t="s">
        <v>23</v>
      </c>
      <c r="D51" s="79" t="s">
        <v>333</v>
      </c>
      <c r="E51" s="79" t="s">
        <v>58</v>
      </c>
      <c r="F51" s="79" t="s">
        <v>334</v>
      </c>
      <c r="G51" s="80" t="s">
        <v>335</v>
      </c>
      <c r="H51" s="79" t="s">
        <v>13</v>
      </c>
      <c r="I51" s="79" t="s">
        <v>141</v>
      </c>
      <c r="J51" s="83">
        <v>45703</v>
      </c>
      <c r="K51" s="83">
        <v>46160</v>
      </c>
      <c r="L51" s="83">
        <v>46203</v>
      </c>
      <c r="M51" s="79">
        <v>12</v>
      </c>
      <c r="N51" s="79" t="s">
        <v>24</v>
      </c>
      <c r="O51" s="79" t="s">
        <v>46</v>
      </c>
      <c r="P51" s="79" t="s">
        <v>191</v>
      </c>
      <c r="Q51" s="72"/>
    </row>
    <row r="52" spans="1:17">
      <c r="A52" s="79" t="s">
        <v>336</v>
      </c>
      <c r="B52" s="79" t="s">
        <v>337</v>
      </c>
      <c r="C52" s="79" t="s">
        <v>23</v>
      </c>
      <c r="D52" s="79" t="s">
        <v>338</v>
      </c>
      <c r="E52" s="79" t="s">
        <v>157</v>
      </c>
      <c r="F52" s="79" t="s">
        <v>339</v>
      </c>
      <c r="G52" s="80" t="s">
        <v>340</v>
      </c>
      <c r="H52" s="79" t="s">
        <v>61</v>
      </c>
      <c r="I52" s="82"/>
      <c r="J52" s="81"/>
      <c r="K52" s="81"/>
      <c r="L52" s="81"/>
      <c r="M52" s="79">
        <v>0</v>
      </c>
      <c r="N52" s="82"/>
      <c r="O52" s="82"/>
      <c r="P52" s="79" t="s">
        <v>98</v>
      </c>
      <c r="Q52" s="72"/>
    </row>
    <row r="53" spans="1:17">
      <c r="A53" s="79" t="s">
        <v>341</v>
      </c>
      <c r="B53" s="79" t="s">
        <v>342</v>
      </c>
      <c r="C53" s="79" t="s">
        <v>23</v>
      </c>
      <c r="D53" s="79" t="s">
        <v>343</v>
      </c>
      <c r="E53" s="79" t="s">
        <v>115</v>
      </c>
      <c r="F53" s="79" t="s">
        <v>344</v>
      </c>
      <c r="G53" s="82"/>
      <c r="H53" s="79" t="s">
        <v>13</v>
      </c>
      <c r="I53" s="79" t="s">
        <v>62</v>
      </c>
      <c r="J53" s="83">
        <v>45965</v>
      </c>
      <c r="K53" s="83">
        <v>46073</v>
      </c>
      <c r="L53" s="83">
        <v>46090</v>
      </c>
      <c r="M53" s="79">
        <v>10</v>
      </c>
      <c r="N53" s="79" t="s">
        <v>27</v>
      </c>
      <c r="O53" s="79" t="s">
        <v>91</v>
      </c>
      <c r="P53" s="79" t="s">
        <v>218</v>
      </c>
      <c r="Q53" s="72"/>
    </row>
    <row r="54" spans="1:17">
      <c r="A54" s="79" t="s">
        <v>345</v>
      </c>
      <c r="B54" s="79" t="s">
        <v>346</v>
      </c>
      <c r="C54" s="79" t="s">
        <v>23</v>
      </c>
      <c r="D54" s="79" t="s">
        <v>347</v>
      </c>
      <c r="E54" s="79" t="s">
        <v>115</v>
      </c>
      <c r="F54" s="79" t="s">
        <v>348</v>
      </c>
      <c r="G54" s="79">
        <v>911176175442</v>
      </c>
      <c r="H54" s="79" t="s">
        <v>13</v>
      </c>
      <c r="I54" s="79" t="s">
        <v>90</v>
      </c>
      <c r="J54" s="83">
        <v>46292</v>
      </c>
      <c r="K54" s="83">
        <v>45970</v>
      </c>
      <c r="L54" s="83">
        <v>46290</v>
      </c>
      <c r="M54" s="79">
        <v>6</v>
      </c>
      <c r="N54" s="79" t="s">
        <v>27</v>
      </c>
      <c r="O54" s="79" t="s">
        <v>47</v>
      </c>
      <c r="P54" s="79" t="s">
        <v>196</v>
      </c>
      <c r="Q54" s="72"/>
    </row>
    <row r="55" spans="1:17">
      <c r="A55" s="79" t="s">
        <v>349</v>
      </c>
      <c r="B55" s="79" t="s">
        <v>350</v>
      </c>
      <c r="C55" s="79" t="s">
        <v>23</v>
      </c>
      <c r="D55" s="79" t="s">
        <v>351</v>
      </c>
      <c r="E55" s="79" t="s">
        <v>58</v>
      </c>
      <c r="F55" s="79" t="s">
        <v>352</v>
      </c>
      <c r="G55" s="80" t="s">
        <v>353</v>
      </c>
      <c r="H55" s="79" t="s">
        <v>14</v>
      </c>
      <c r="I55" s="79" t="s">
        <v>69</v>
      </c>
      <c r="J55" s="83">
        <v>46226</v>
      </c>
      <c r="K55" s="83">
        <v>46246</v>
      </c>
      <c r="L55" s="81"/>
      <c r="M55" s="79">
        <v>6</v>
      </c>
      <c r="N55" s="79" t="s">
        <v>27</v>
      </c>
      <c r="O55" s="79" t="s">
        <v>47</v>
      </c>
      <c r="P55" s="79" t="s">
        <v>170</v>
      </c>
      <c r="Q55" s="72"/>
    </row>
    <row r="56" spans="1:17">
      <c r="A56" s="79" t="s">
        <v>354</v>
      </c>
      <c r="B56" s="79" t="s">
        <v>355</v>
      </c>
      <c r="C56" s="79" t="s">
        <v>23</v>
      </c>
      <c r="D56" s="79" t="s">
        <v>356</v>
      </c>
      <c r="E56" s="79" t="s">
        <v>115</v>
      </c>
      <c r="F56" s="79" t="s">
        <v>357</v>
      </c>
      <c r="G56" s="80" t="s">
        <v>358</v>
      </c>
      <c r="H56" s="79" t="s">
        <v>33</v>
      </c>
      <c r="I56" s="79" t="s">
        <v>104</v>
      </c>
      <c r="J56" s="83">
        <v>46288</v>
      </c>
      <c r="K56" s="83">
        <v>45890</v>
      </c>
      <c r="L56" s="83">
        <v>46338</v>
      </c>
      <c r="M56" s="79">
        <v>5</v>
      </c>
      <c r="N56" s="79" t="s">
        <v>20</v>
      </c>
      <c r="O56" s="79" t="s">
        <v>46</v>
      </c>
      <c r="P56" s="79" t="s">
        <v>76</v>
      </c>
      <c r="Q56" s="72"/>
    </row>
    <row r="57" spans="1:17">
      <c r="A57" s="79" t="s">
        <v>359</v>
      </c>
      <c r="B57" s="79" t="s">
        <v>360</v>
      </c>
      <c r="C57" s="79" t="s">
        <v>23</v>
      </c>
      <c r="D57" s="79" t="s">
        <v>361</v>
      </c>
      <c r="E57" s="79" t="s">
        <v>58</v>
      </c>
      <c r="F57" s="79" t="s">
        <v>362</v>
      </c>
      <c r="G57" s="80" t="s">
        <v>363</v>
      </c>
      <c r="H57" s="79" t="s">
        <v>364</v>
      </c>
      <c r="I57" s="79" t="s">
        <v>69</v>
      </c>
      <c r="J57" s="83">
        <v>46228</v>
      </c>
      <c r="K57" s="83">
        <v>46233</v>
      </c>
      <c r="L57" s="83">
        <v>46292</v>
      </c>
      <c r="M57" s="79">
        <v>10</v>
      </c>
      <c r="N57" s="79" t="s">
        <v>27</v>
      </c>
      <c r="O57" s="79" t="s">
        <v>47</v>
      </c>
      <c r="P57" s="79" t="s">
        <v>111</v>
      </c>
      <c r="Q57" s="72"/>
    </row>
    <row r="58" spans="1:17">
      <c r="A58" s="79" t="s">
        <v>365</v>
      </c>
      <c r="B58" s="79" t="s">
        <v>366</v>
      </c>
      <c r="C58" s="79" t="s">
        <v>23</v>
      </c>
      <c r="D58" s="79" t="s">
        <v>367</v>
      </c>
      <c r="E58" s="79" t="s">
        <v>67</v>
      </c>
      <c r="F58" s="82"/>
      <c r="G58" s="80" t="s">
        <v>368</v>
      </c>
      <c r="H58" s="79" t="s">
        <v>22</v>
      </c>
      <c r="I58" s="79" t="s">
        <v>141</v>
      </c>
      <c r="J58" s="83">
        <v>46068</v>
      </c>
      <c r="K58" s="83">
        <v>46079</v>
      </c>
      <c r="L58" s="83">
        <v>46120</v>
      </c>
      <c r="M58" s="79">
        <v>2</v>
      </c>
      <c r="N58" s="79" t="s">
        <v>20</v>
      </c>
      <c r="O58" s="79" t="s">
        <v>105</v>
      </c>
      <c r="P58" s="79" t="s">
        <v>325</v>
      </c>
      <c r="Q58" s="72"/>
    </row>
    <row r="59" spans="1:17">
      <c r="A59" s="79" t="s">
        <v>369</v>
      </c>
      <c r="B59" s="79" t="s">
        <v>370</v>
      </c>
      <c r="C59" s="79" t="s">
        <v>23</v>
      </c>
      <c r="D59" s="79" t="s">
        <v>371</v>
      </c>
      <c r="E59" s="79" t="s">
        <v>80</v>
      </c>
      <c r="F59" s="79" t="s">
        <v>372</v>
      </c>
      <c r="G59" s="80" t="s">
        <v>373</v>
      </c>
      <c r="H59" s="79" t="s">
        <v>33</v>
      </c>
      <c r="I59" s="79" t="s">
        <v>141</v>
      </c>
      <c r="J59" s="83">
        <v>45748</v>
      </c>
      <c r="K59" s="83">
        <v>46261</v>
      </c>
      <c r="L59" s="83">
        <v>46338</v>
      </c>
      <c r="M59" s="79">
        <v>5</v>
      </c>
      <c r="N59" s="79" t="s">
        <v>20</v>
      </c>
      <c r="O59" s="79" t="s">
        <v>185</v>
      </c>
      <c r="P59" s="79" t="s">
        <v>128</v>
      </c>
      <c r="Q59" s="72"/>
    </row>
    <row r="60" spans="1:17">
      <c r="A60" s="79" t="s">
        <v>374</v>
      </c>
      <c r="B60" s="79" t="s">
        <v>375</v>
      </c>
      <c r="C60" s="79" t="s">
        <v>23</v>
      </c>
      <c r="D60" s="79" t="s">
        <v>376</v>
      </c>
      <c r="E60" s="79" t="s">
        <v>58</v>
      </c>
      <c r="F60" s="79" t="s">
        <v>377</v>
      </c>
      <c r="G60" s="82"/>
      <c r="H60" s="79" t="s">
        <v>61</v>
      </c>
      <c r="I60" s="82"/>
      <c r="J60" s="81"/>
      <c r="K60" s="81"/>
      <c r="L60" s="81"/>
      <c r="M60" s="79">
        <v>0</v>
      </c>
      <c r="N60" s="82"/>
      <c r="O60" s="82"/>
      <c r="P60" s="82"/>
      <c r="Q60" s="72"/>
    </row>
    <row r="61" spans="1:17">
      <c r="A61" s="82"/>
      <c r="B61" s="79" t="s">
        <v>378</v>
      </c>
      <c r="C61" s="79" t="s">
        <v>23</v>
      </c>
      <c r="D61" s="79" t="s">
        <v>379</v>
      </c>
      <c r="E61" s="79" t="s">
        <v>80</v>
      </c>
      <c r="F61" s="82"/>
      <c r="G61" s="80" t="s">
        <v>380</v>
      </c>
      <c r="H61" s="79" t="s">
        <v>13</v>
      </c>
      <c r="I61" s="79" t="s">
        <v>62</v>
      </c>
      <c r="J61" s="83">
        <v>46131</v>
      </c>
      <c r="K61" s="83">
        <v>46225</v>
      </c>
      <c r="L61" s="83">
        <v>46245</v>
      </c>
      <c r="M61" s="79">
        <v>19</v>
      </c>
      <c r="N61" s="82"/>
      <c r="O61" s="79" t="s">
        <v>46</v>
      </c>
      <c r="P61" s="79" t="s">
        <v>320</v>
      </c>
      <c r="Q61" s="72"/>
    </row>
    <row r="62" spans="1:17">
      <c r="A62" s="79" t="s">
        <v>381</v>
      </c>
      <c r="B62" s="79" t="s">
        <v>382</v>
      </c>
      <c r="C62" s="79" t="s">
        <v>23</v>
      </c>
      <c r="D62" s="79" t="s">
        <v>383</v>
      </c>
      <c r="E62" s="79" t="s">
        <v>132</v>
      </c>
      <c r="F62" s="79" t="s">
        <v>384</v>
      </c>
      <c r="G62" s="80" t="s">
        <v>385</v>
      </c>
      <c r="H62" s="79" t="s">
        <v>14</v>
      </c>
      <c r="I62" s="79" t="s">
        <v>83</v>
      </c>
      <c r="J62" s="83">
        <v>45772</v>
      </c>
      <c r="K62" s="83">
        <v>46388</v>
      </c>
      <c r="L62" s="83">
        <v>46313</v>
      </c>
      <c r="M62" s="79">
        <v>3</v>
      </c>
      <c r="N62" s="79" t="s">
        <v>24</v>
      </c>
      <c r="O62" s="79" t="s">
        <v>185</v>
      </c>
      <c r="P62" s="79" t="s">
        <v>92</v>
      </c>
      <c r="Q62" s="72"/>
    </row>
    <row r="63" spans="1:17">
      <c r="A63" s="79" t="s">
        <v>386</v>
      </c>
      <c r="B63" s="79" t="s">
        <v>387</v>
      </c>
      <c r="C63" s="79" t="s">
        <v>23</v>
      </c>
      <c r="D63" s="79" t="s">
        <v>388</v>
      </c>
      <c r="E63" s="79" t="s">
        <v>132</v>
      </c>
      <c r="F63" s="79" t="s">
        <v>389</v>
      </c>
      <c r="G63" s="80" t="s">
        <v>390</v>
      </c>
      <c r="H63" s="79" t="s">
        <v>13</v>
      </c>
      <c r="I63" s="79" t="s">
        <v>141</v>
      </c>
      <c r="J63" s="83">
        <v>45873</v>
      </c>
      <c r="K63" s="83">
        <v>46273</v>
      </c>
      <c r="L63" s="83">
        <v>46295</v>
      </c>
      <c r="M63" s="79">
        <v>0</v>
      </c>
      <c r="N63" s="79" t="s">
        <v>27</v>
      </c>
      <c r="O63" s="79" t="s">
        <v>105</v>
      </c>
      <c r="P63" s="79" t="s">
        <v>218</v>
      </c>
      <c r="Q63" s="72"/>
    </row>
    <row r="64" spans="1:17">
      <c r="A64" s="82"/>
      <c r="B64" s="79" t="s">
        <v>391</v>
      </c>
      <c r="C64" s="79" t="s">
        <v>30</v>
      </c>
      <c r="D64" s="79" t="s">
        <v>392</v>
      </c>
      <c r="E64" s="79" t="s">
        <v>145</v>
      </c>
      <c r="F64" s="79" t="s">
        <v>393</v>
      </c>
      <c r="G64" s="82"/>
      <c r="H64" s="79" t="s">
        <v>29</v>
      </c>
      <c r="I64" s="82"/>
      <c r="J64" s="83">
        <v>46009</v>
      </c>
      <c r="K64" s="83">
        <v>46284</v>
      </c>
      <c r="L64" s="83">
        <v>46324</v>
      </c>
      <c r="M64" s="79">
        <v>8</v>
      </c>
      <c r="N64" s="79" t="s">
        <v>24</v>
      </c>
      <c r="O64" s="79" t="s">
        <v>91</v>
      </c>
      <c r="P64" s="79" t="s">
        <v>111</v>
      </c>
      <c r="Q64" s="72"/>
    </row>
    <row r="65" spans="1:17">
      <c r="A65" s="79" t="s">
        <v>394</v>
      </c>
      <c r="B65" s="79" t="s">
        <v>395</v>
      </c>
      <c r="C65" s="79" t="s">
        <v>30</v>
      </c>
      <c r="D65" s="79" t="s">
        <v>125</v>
      </c>
      <c r="E65" s="79" t="s">
        <v>115</v>
      </c>
      <c r="F65" s="79" t="s">
        <v>396</v>
      </c>
      <c r="G65" s="80" t="s">
        <v>397</v>
      </c>
      <c r="H65" s="79" t="s">
        <v>13</v>
      </c>
      <c r="I65" s="79" t="s">
        <v>62</v>
      </c>
      <c r="J65" s="83">
        <v>45687</v>
      </c>
      <c r="K65" s="83">
        <v>46212</v>
      </c>
      <c r="L65" s="83">
        <v>46271</v>
      </c>
      <c r="M65" s="79">
        <v>10</v>
      </c>
      <c r="N65" s="79" t="s">
        <v>27</v>
      </c>
      <c r="O65" s="79" t="s">
        <v>91</v>
      </c>
      <c r="P65" s="79" t="s">
        <v>218</v>
      </c>
      <c r="Q65" s="72"/>
    </row>
    <row r="66" spans="1:17">
      <c r="A66" s="79" t="s">
        <v>398</v>
      </c>
      <c r="B66" s="79" t="s">
        <v>399</v>
      </c>
      <c r="C66" s="79" t="s">
        <v>30</v>
      </c>
      <c r="D66" s="79" t="s">
        <v>400</v>
      </c>
      <c r="E66" s="79" t="s">
        <v>145</v>
      </c>
      <c r="F66" s="79" t="s">
        <v>401</v>
      </c>
      <c r="G66" s="80" t="s">
        <v>402</v>
      </c>
      <c r="H66" s="79" t="s">
        <v>13</v>
      </c>
      <c r="I66" s="79" t="s">
        <v>90</v>
      </c>
      <c r="J66" s="83">
        <v>45797</v>
      </c>
      <c r="K66" s="83">
        <v>46285</v>
      </c>
      <c r="L66" s="83">
        <v>46333</v>
      </c>
      <c r="M66" s="79">
        <v>9</v>
      </c>
      <c r="N66" s="82"/>
      <c r="O66" s="79" t="s">
        <v>185</v>
      </c>
      <c r="P66" s="79" t="s">
        <v>84</v>
      </c>
      <c r="Q66" s="72"/>
    </row>
    <row r="67" spans="1:17">
      <c r="A67" s="79" t="s">
        <v>403</v>
      </c>
      <c r="B67" s="79" t="s">
        <v>404</v>
      </c>
      <c r="C67" s="79" t="s">
        <v>30</v>
      </c>
      <c r="D67" s="79" t="s">
        <v>405</v>
      </c>
      <c r="E67" s="79" t="s">
        <v>115</v>
      </c>
      <c r="F67" s="79" t="s">
        <v>406</v>
      </c>
      <c r="G67" s="80" t="s">
        <v>407</v>
      </c>
      <c r="H67" s="79" t="s">
        <v>22</v>
      </c>
      <c r="I67" s="79" t="s">
        <v>62</v>
      </c>
      <c r="J67" s="83">
        <v>45783</v>
      </c>
      <c r="K67" s="81"/>
      <c r="L67" s="83">
        <v>46340</v>
      </c>
      <c r="M67" s="79">
        <v>2</v>
      </c>
      <c r="N67" s="79" t="s">
        <v>20</v>
      </c>
      <c r="O67" s="79" t="s">
        <v>185</v>
      </c>
      <c r="P67" s="79" t="s">
        <v>159</v>
      </c>
      <c r="Q67" s="72"/>
    </row>
    <row r="68" spans="1:17">
      <c r="A68" s="79" t="s">
        <v>408</v>
      </c>
      <c r="B68" s="79" t="s">
        <v>409</v>
      </c>
      <c r="C68" s="79" t="s">
        <v>30</v>
      </c>
      <c r="D68" s="79" t="s">
        <v>410</v>
      </c>
      <c r="E68" s="79" t="s">
        <v>157</v>
      </c>
      <c r="F68" s="79" t="s">
        <v>411</v>
      </c>
      <c r="G68" s="80" t="s">
        <v>412</v>
      </c>
      <c r="H68" s="79" t="s">
        <v>364</v>
      </c>
      <c r="I68" s="82"/>
      <c r="J68" s="83">
        <v>45794</v>
      </c>
      <c r="K68" s="83">
        <v>46277</v>
      </c>
      <c r="L68" s="83">
        <v>46294</v>
      </c>
      <c r="M68" s="79">
        <v>9</v>
      </c>
      <c r="N68" s="79" t="s">
        <v>24</v>
      </c>
      <c r="O68" s="79" t="s">
        <v>46</v>
      </c>
      <c r="P68" s="79" t="s">
        <v>135</v>
      </c>
      <c r="Q68" s="72"/>
    </row>
    <row r="69" spans="1:17">
      <c r="A69" s="79" t="s">
        <v>413</v>
      </c>
      <c r="B69" s="79" t="s">
        <v>414</v>
      </c>
      <c r="C69" s="79" t="s">
        <v>30</v>
      </c>
      <c r="D69" s="79" t="s">
        <v>415</v>
      </c>
      <c r="E69" s="79" t="s">
        <v>58</v>
      </c>
      <c r="F69" s="79" t="s">
        <v>416</v>
      </c>
      <c r="G69" s="80" t="s">
        <v>417</v>
      </c>
      <c r="H69" s="79" t="s">
        <v>22</v>
      </c>
      <c r="I69" s="79" t="s">
        <v>90</v>
      </c>
      <c r="J69" s="83">
        <v>45931</v>
      </c>
      <c r="K69" s="83">
        <v>46287</v>
      </c>
      <c r="L69" s="83">
        <v>46305</v>
      </c>
      <c r="M69" s="82"/>
      <c r="N69" s="79" t="s">
        <v>20</v>
      </c>
      <c r="O69" s="79" t="s">
        <v>46</v>
      </c>
      <c r="P69" s="79" t="s">
        <v>70</v>
      </c>
      <c r="Q69" s="72"/>
    </row>
    <row r="70" spans="1:17">
      <c r="A70" s="79" t="s">
        <v>418</v>
      </c>
      <c r="B70" s="79" t="s">
        <v>419</v>
      </c>
      <c r="C70" s="79" t="s">
        <v>30</v>
      </c>
      <c r="D70" s="79" t="s">
        <v>420</v>
      </c>
      <c r="E70" s="79" t="s">
        <v>80</v>
      </c>
      <c r="F70" s="82"/>
      <c r="G70" s="80" t="s">
        <v>421</v>
      </c>
      <c r="H70" s="79" t="s">
        <v>422</v>
      </c>
      <c r="I70" s="79" t="s">
        <v>90</v>
      </c>
      <c r="J70" s="83">
        <v>45808</v>
      </c>
      <c r="K70" s="83">
        <v>46079</v>
      </c>
      <c r="L70" s="81"/>
      <c r="M70" s="79">
        <v>3</v>
      </c>
      <c r="N70" s="79" t="s">
        <v>20</v>
      </c>
      <c r="O70" s="79" t="s">
        <v>46</v>
      </c>
      <c r="P70" s="79" t="s">
        <v>305</v>
      </c>
      <c r="Q70" s="72"/>
    </row>
    <row r="71" spans="1:17">
      <c r="A71" s="79" t="s">
        <v>423</v>
      </c>
      <c r="B71" s="79" t="s">
        <v>424</v>
      </c>
      <c r="C71" s="79" t="s">
        <v>30</v>
      </c>
      <c r="D71" s="79" t="s">
        <v>425</v>
      </c>
      <c r="E71" s="79" t="s">
        <v>67</v>
      </c>
      <c r="F71" s="79" t="s">
        <v>426</v>
      </c>
      <c r="G71" s="80" t="s">
        <v>427</v>
      </c>
      <c r="H71" s="79" t="s">
        <v>22</v>
      </c>
      <c r="I71" s="79" t="s">
        <v>69</v>
      </c>
      <c r="J71" s="83">
        <v>45965</v>
      </c>
      <c r="K71" s="83">
        <v>46076</v>
      </c>
      <c r="L71" s="83">
        <v>46134</v>
      </c>
      <c r="M71" s="79">
        <v>-3</v>
      </c>
      <c r="N71" s="79" t="s">
        <v>20</v>
      </c>
      <c r="O71" s="79" t="s">
        <v>185</v>
      </c>
      <c r="P71" s="79" t="s">
        <v>122</v>
      </c>
      <c r="Q71" s="72"/>
    </row>
    <row r="72" spans="1:17">
      <c r="A72" s="79" t="s">
        <v>428</v>
      </c>
      <c r="B72" s="79" t="s">
        <v>429</v>
      </c>
      <c r="C72" s="82"/>
      <c r="D72" s="79" t="s">
        <v>405</v>
      </c>
      <c r="E72" s="79" t="s">
        <v>157</v>
      </c>
      <c r="F72" s="79" t="s">
        <v>430</v>
      </c>
      <c r="G72" s="80" t="s">
        <v>431</v>
      </c>
      <c r="H72" s="79" t="s">
        <v>29</v>
      </c>
      <c r="I72" s="79" t="s">
        <v>62</v>
      </c>
      <c r="J72" s="83">
        <v>46072</v>
      </c>
      <c r="K72" s="83" t="s">
        <v>432</v>
      </c>
      <c r="L72" s="83">
        <v>46264</v>
      </c>
      <c r="M72" s="79">
        <v>6</v>
      </c>
      <c r="N72" s="79" t="s">
        <v>24</v>
      </c>
      <c r="O72" s="79" t="s">
        <v>46</v>
      </c>
      <c r="P72" s="79" t="s">
        <v>111</v>
      </c>
      <c r="Q72" s="72"/>
    </row>
    <row r="73" spans="1:17">
      <c r="A73" s="79" t="s">
        <v>433</v>
      </c>
      <c r="B73" s="79" t="s">
        <v>434</v>
      </c>
      <c r="C73" s="79" t="s">
        <v>30</v>
      </c>
      <c r="D73" s="79" t="s">
        <v>435</v>
      </c>
      <c r="E73" s="79" t="s">
        <v>132</v>
      </c>
      <c r="F73" s="79" t="s">
        <v>436</v>
      </c>
      <c r="G73" s="80" t="s">
        <v>437</v>
      </c>
      <c r="H73" s="79" t="s">
        <v>22</v>
      </c>
      <c r="I73" s="79" t="s">
        <v>62</v>
      </c>
      <c r="J73" s="83">
        <v>45960</v>
      </c>
      <c r="K73" s="83">
        <v>46287</v>
      </c>
      <c r="L73" s="83">
        <v>46339</v>
      </c>
      <c r="M73" s="79">
        <v>2</v>
      </c>
      <c r="N73" s="79" t="s">
        <v>20</v>
      </c>
      <c r="O73" s="79" t="s">
        <v>105</v>
      </c>
      <c r="P73" s="79" t="s">
        <v>159</v>
      </c>
      <c r="Q73" s="72"/>
    </row>
    <row r="74" spans="1:17">
      <c r="A74" s="79" t="s">
        <v>438</v>
      </c>
      <c r="B74" s="79" t="s">
        <v>439</v>
      </c>
      <c r="C74" s="79" t="s">
        <v>30</v>
      </c>
      <c r="D74" s="79" t="s">
        <v>440</v>
      </c>
      <c r="E74" s="79" t="s">
        <v>80</v>
      </c>
      <c r="F74" s="79" t="s">
        <v>441</v>
      </c>
      <c r="G74" s="80" t="s">
        <v>442</v>
      </c>
      <c r="H74" s="79" t="s">
        <v>14</v>
      </c>
      <c r="I74" s="79" t="s">
        <v>90</v>
      </c>
      <c r="J74" s="83">
        <v>46208</v>
      </c>
      <c r="K74" s="83">
        <v>46278</v>
      </c>
      <c r="L74" s="83">
        <v>46307</v>
      </c>
      <c r="M74" s="79">
        <v>4</v>
      </c>
      <c r="N74" s="79" t="s">
        <v>24</v>
      </c>
      <c r="O74" s="79" t="s">
        <v>185</v>
      </c>
      <c r="P74" s="79" t="s">
        <v>92</v>
      </c>
      <c r="Q74" s="72"/>
    </row>
    <row r="75" spans="1:17">
      <c r="A75" s="79" t="s">
        <v>443</v>
      </c>
      <c r="B75" s="79" t="s">
        <v>444</v>
      </c>
      <c r="C75" s="79" t="s">
        <v>30</v>
      </c>
      <c r="D75" s="79" t="s">
        <v>108</v>
      </c>
      <c r="E75" s="79" t="s">
        <v>157</v>
      </c>
      <c r="F75" s="79" t="s">
        <v>445</v>
      </c>
      <c r="G75" s="82"/>
      <c r="H75" s="79" t="s">
        <v>61</v>
      </c>
      <c r="I75" s="79" t="s">
        <v>90</v>
      </c>
      <c r="J75" s="81"/>
      <c r="K75" s="83">
        <v>46210</v>
      </c>
      <c r="L75" s="81"/>
      <c r="M75" s="79">
        <v>3</v>
      </c>
      <c r="N75" s="82"/>
      <c r="O75" s="82"/>
      <c r="P75" s="79" t="s">
        <v>63</v>
      </c>
      <c r="Q75" s="72"/>
    </row>
    <row r="76" spans="1:17">
      <c r="A76" s="79" t="s">
        <v>446</v>
      </c>
      <c r="B76" s="79" t="s">
        <v>447</v>
      </c>
      <c r="C76" s="79" t="s">
        <v>30</v>
      </c>
      <c r="D76" s="79" t="s">
        <v>448</v>
      </c>
      <c r="E76" s="79" t="s">
        <v>80</v>
      </c>
      <c r="F76" s="79" t="s">
        <v>449</v>
      </c>
      <c r="G76" s="80" t="s">
        <v>450</v>
      </c>
      <c r="H76" s="79" t="s">
        <v>61</v>
      </c>
      <c r="I76" s="79" t="s">
        <v>104</v>
      </c>
      <c r="J76" s="81"/>
      <c r="K76" s="81"/>
      <c r="L76" s="81"/>
      <c r="M76" s="79">
        <v>0</v>
      </c>
      <c r="N76" s="82"/>
      <c r="O76" s="82"/>
      <c r="P76" s="82"/>
      <c r="Q76" s="72"/>
    </row>
    <row r="77" spans="1:17">
      <c r="A77" s="79" t="s">
        <v>451</v>
      </c>
      <c r="B77" s="79" t="s">
        <v>452</v>
      </c>
      <c r="C77" s="79" t="s">
        <v>30</v>
      </c>
      <c r="D77" s="79" t="s">
        <v>453</v>
      </c>
      <c r="E77" s="79" t="s">
        <v>67</v>
      </c>
      <c r="F77" s="79" t="s">
        <v>454</v>
      </c>
      <c r="G77" s="82"/>
      <c r="H77" s="79" t="s">
        <v>13</v>
      </c>
      <c r="I77" s="79" t="s">
        <v>104</v>
      </c>
      <c r="J77" s="83">
        <v>45884</v>
      </c>
      <c r="K77" s="83">
        <v>46277</v>
      </c>
      <c r="L77" s="83">
        <v>46321</v>
      </c>
      <c r="M77" s="79">
        <v>8</v>
      </c>
      <c r="N77" s="82"/>
      <c r="O77" s="79" t="s">
        <v>105</v>
      </c>
      <c r="P77" s="79" t="s">
        <v>218</v>
      </c>
      <c r="Q77" s="72"/>
    </row>
    <row r="78" spans="1:17">
      <c r="A78" s="79" t="s">
        <v>455</v>
      </c>
      <c r="B78" s="79" t="s">
        <v>456</v>
      </c>
      <c r="C78" s="79" t="s">
        <v>37</v>
      </c>
      <c r="D78" s="79" t="s">
        <v>457</v>
      </c>
      <c r="E78" s="79" t="s">
        <v>132</v>
      </c>
      <c r="F78" s="79" t="s">
        <v>458</v>
      </c>
      <c r="G78" s="82"/>
      <c r="H78" s="79" t="s">
        <v>22</v>
      </c>
      <c r="I78" s="79" t="s">
        <v>104</v>
      </c>
      <c r="J78" s="83">
        <v>45844</v>
      </c>
      <c r="K78" s="83">
        <v>46276</v>
      </c>
      <c r="L78" s="81"/>
      <c r="M78" s="82"/>
      <c r="N78" s="79" t="s">
        <v>20</v>
      </c>
      <c r="O78" s="79" t="s">
        <v>46</v>
      </c>
      <c r="P78" s="79" t="s">
        <v>122</v>
      </c>
      <c r="Q78" s="72"/>
    </row>
    <row r="79" spans="1:17">
      <c r="A79" s="79" t="s">
        <v>459</v>
      </c>
      <c r="B79" s="79" t="s">
        <v>460</v>
      </c>
      <c r="C79" s="79" t="s">
        <v>37</v>
      </c>
      <c r="D79" s="79" t="s">
        <v>461</v>
      </c>
      <c r="E79" s="79" t="s">
        <v>132</v>
      </c>
      <c r="F79" s="79" t="s">
        <v>462</v>
      </c>
      <c r="G79" s="80" t="s">
        <v>463</v>
      </c>
      <c r="H79" s="79" t="s">
        <v>33</v>
      </c>
      <c r="I79" s="79" t="s">
        <v>83</v>
      </c>
      <c r="J79" s="83">
        <v>46314</v>
      </c>
      <c r="K79" s="83">
        <v>45847</v>
      </c>
      <c r="L79" s="83">
        <v>46380</v>
      </c>
      <c r="M79" s="79">
        <v>5</v>
      </c>
      <c r="N79" s="79" t="s">
        <v>20</v>
      </c>
      <c r="O79" s="79" t="s">
        <v>47</v>
      </c>
      <c r="P79" s="79" t="s">
        <v>76</v>
      </c>
      <c r="Q79" s="72"/>
    </row>
    <row r="80" spans="1:17">
      <c r="A80" s="79" t="s">
        <v>464</v>
      </c>
      <c r="B80" s="79" t="s">
        <v>465</v>
      </c>
      <c r="C80" s="79" t="s">
        <v>37</v>
      </c>
      <c r="D80" s="79" t="s">
        <v>466</v>
      </c>
      <c r="E80" s="79" t="s">
        <v>145</v>
      </c>
      <c r="F80" s="82"/>
      <c r="G80" s="80" t="s">
        <v>467</v>
      </c>
      <c r="H80" s="79" t="s">
        <v>13</v>
      </c>
      <c r="I80" s="79" t="s">
        <v>69</v>
      </c>
      <c r="J80" s="83">
        <v>46009</v>
      </c>
      <c r="K80" s="83">
        <v>46211</v>
      </c>
      <c r="L80" s="83" t="s">
        <v>432</v>
      </c>
      <c r="M80" s="79">
        <v>10</v>
      </c>
      <c r="N80" s="79" t="s">
        <v>24</v>
      </c>
      <c r="O80" s="79" t="s">
        <v>46</v>
      </c>
      <c r="P80" s="79" t="s">
        <v>84</v>
      </c>
      <c r="Q80" s="72"/>
    </row>
    <row r="81" spans="1:31">
      <c r="A81" s="79" t="s">
        <v>468</v>
      </c>
      <c r="B81" s="79" t="s">
        <v>469</v>
      </c>
      <c r="C81" s="79" t="s">
        <v>37</v>
      </c>
      <c r="D81" s="79" t="s">
        <v>470</v>
      </c>
      <c r="E81" s="79" t="s">
        <v>67</v>
      </c>
      <c r="F81" s="79" t="s">
        <v>471</v>
      </c>
      <c r="G81" s="80" t="s">
        <v>472</v>
      </c>
      <c r="H81" s="79" t="s">
        <v>22</v>
      </c>
      <c r="I81" s="79" t="s">
        <v>141</v>
      </c>
      <c r="J81" s="83">
        <v>45738</v>
      </c>
      <c r="K81" s="83">
        <v>46206</v>
      </c>
      <c r="L81" s="83">
        <v>46224</v>
      </c>
      <c r="M81" s="79">
        <v>1</v>
      </c>
      <c r="N81" s="82"/>
      <c r="O81" s="79" t="s">
        <v>46</v>
      </c>
      <c r="P81" s="79" t="s">
        <v>159</v>
      </c>
      <c r="Q81" s="72"/>
    </row>
    <row r="82" spans="1:31">
      <c r="A82" s="79" t="s">
        <v>473</v>
      </c>
      <c r="B82" s="79" t="s">
        <v>474</v>
      </c>
      <c r="C82" s="79" t="s">
        <v>37</v>
      </c>
      <c r="D82" s="79" t="s">
        <v>475</v>
      </c>
      <c r="E82" s="79" t="s">
        <v>58</v>
      </c>
      <c r="F82" s="82"/>
      <c r="G82" s="80" t="s">
        <v>476</v>
      </c>
      <c r="H82" s="79" t="s">
        <v>14</v>
      </c>
      <c r="I82" s="79" t="s">
        <v>141</v>
      </c>
      <c r="J82" s="83">
        <v>45695</v>
      </c>
      <c r="K82" s="83">
        <v>46193</v>
      </c>
      <c r="L82" s="83">
        <v>46242</v>
      </c>
      <c r="M82" s="79">
        <v>5</v>
      </c>
      <c r="N82" s="79" t="s">
        <v>24</v>
      </c>
      <c r="O82" s="79" t="s">
        <v>46</v>
      </c>
      <c r="P82" s="79" t="s">
        <v>246</v>
      </c>
      <c r="Q82" s="72"/>
    </row>
    <row r="83" spans="1:31">
      <c r="A83" s="79" t="s">
        <v>477</v>
      </c>
      <c r="B83" s="79" t="s">
        <v>478</v>
      </c>
      <c r="C83" s="79" t="s">
        <v>26</v>
      </c>
      <c r="D83" s="79" t="s">
        <v>479</v>
      </c>
      <c r="E83" s="79" t="s">
        <v>145</v>
      </c>
      <c r="F83" s="79" t="s">
        <v>480</v>
      </c>
      <c r="G83" s="80" t="s">
        <v>481</v>
      </c>
      <c r="H83" s="79" t="s">
        <v>29</v>
      </c>
      <c r="I83" s="79" t="s">
        <v>69</v>
      </c>
      <c r="J83" s="83">
        <v>46192</v>
      </c>
      <c r="K83" s="83" t="s">
        <v>482</v>
      </c>
      <c r="L83" s="83">
        <v>46312</v>
      </c>
      <c r="M83" s="79">
        <v>7</v>
      </c>
      <c r="N83" s="79" t="s">
        <v>27</v>
      </c>
      <c r="O83" s="79" t="s">
        <v>46</v>
      </c>
      <c r="P83" s="79" t="s">
        <v>135</v>
      </c>
      <c r="Q83" s="72"/>
    </row>
    <row r="84" spans="1:31">
      <c r="A84" s="84" t="s">
        <v>483</v>
      </c>
      <c r="B84" s="84" t="s">
        <v>484</v>
      </c>
      <c r="C84" s="84" t="s">
        <v>37</v>
      </c>
      <c r="D84" s="84" t="s">
        <v>485</v>
      </c>
      <c r="E84" s="84" t="s">
        <v>145</v>
      </c>
      <c r="F84" s="84" t="s">
        <v>486</v>
      </c>
      <c r="G84" s="85" t="s">
        <v>487</v>
      </c>
      <c r="H84" s="84" t="s">
        <v>22</v>
      </c>
      <c r="I84" s="84" t="s">
        <v>69</v>
      </c>
      <c r="J84" s="86">
        <v>46092</v>
      </c>
      <c r="K84" s="86">
        <v>46251</v>
      </c>
      <c r="L84" s="86">
        <v>46275</v>
      </c>
      <c r="M84" s="84">
        <v>2</v>
      </c>
      <c r="N84" s="84" t="s">
        <v>20</v>
      </c>
      <c r="O84" s="84" t="s">
        <v>91</v>
      </c>
      <c r="P84" s="84" t="s">
        <v>325</v>
      </c>
      <c r="Q84" s="73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  <c r="AC84" s="75"/>
      <c r="AD84" s="75"/>
      <c r="AE84" s="75"/>
    </row>
    <row r="85" spans="1:31">
      <c r="A85" s="84" t="s">
        <v>488</v>
      </c>
      <c r="B85" s="84" t="s">
        <v>489</v>
      </c>
      <c r="C85" s="84" t="s">
        <v>37</v>
      </c>
      <c r="D85" s="84" t="s">
        <v>490</v>
      </c>
      <c r="E85" s="84" t="s">
        <v>115</v>
      </c>
      <c r="F85" s="84" t="s">
        <v>491</v>
      </c>
      <c r="G85" s="87"/>
      <c r="H85" s="84" t="s">
        <v>61</v>
      </c>
      <c r="I85" s="84" t="s">
        <v>83</v>
      </c>
      <c r="J85" s="88"/>
      <c r="K85" s="88"/>
      <c r="L85" s="88"/>
      <c r="M85" s="84">
        <v>0</v>
      </c>
      <c r="N85" s="87"/>
      <c r="O85" s="87"/>
      <c r="P85" s="87"/>
      <c r="Q85" s="73"/>
      <c r="R85" s="75"/>
      <c r="S85" s="75"/>
      <c r="T85" s="75"/>
      <c r="U85" s="75"/>
      <c r="V85" s="75"/>
      <c r="W85" s="75"/>
      <c r="X85" s="75"/>
      <c r="Y85" s="75"/>
      <c r="Z85" s="75"/>
      <c r="AA85" s="75"/>
      <c r="AB85" s="75"/>
      <c r="AC85" s="75"/>
      <c r="AD85" s="75"/>
      <c r="AE85" s="75"/>
    </row>
    <row r="86" spans="1:31">
      <c r="A86" s="84" t="s">
        <v>269</v>
      </c>
      <c r="B86" s="84" t="s">
        <v>270</v>
      </c>
      <c r="C86" s="84" t="s">
        <v>34</v>
      </c>
      <c r="D86" s="84" t="s">
        <v>271</v>
      </c>
      <c r="E86" s="84" t="s">
        <v>157</v>
      </c>
      <c r="F86" s="84" t="s">
        <v>272</v>
      </c>
      <c r="G86" s="85" t="s">
        <v>273</v>
      </c>
      <c r="H86" s="84" t="s">
        <v>13</v>
      </c>
      <c r="I86" s="84" t="s">
        <v>83</v>
      </c>
      <c r="J86" s="86">
        <v>45814</v>
      </c>
      <c r="K86" s="86">
        <v>46244</v>
      </c>
      <c r="L86" s="86">
        <v>46306</v>
      </c>
      <c r="M86" s="84">
        <v>16</v>
      </c>
      <c r="N86" s="84" t="s">
        <v>27</v>
      </c>
      <c r="O86" s="84" t="s">
        <v>185</v>
      </c>
      <c r="P86" s="84" t="s">
        <v>196</v>
      </c>
      <c r="Q86" s="73"/>
      <c r="R86" s="75"/>
      <c r="S86" s="75"/>
      <c r="T86" s="75"/>
      <c r="U86" s="75"/>
      <c r="V86" s="75"/>
      <c r="W86" s="75"/>
      <c r="X86" s="75"/>
      <c r="Y86" s="75"/>
      <c r="Z86" s="75"/>
      <c r="AA86" s="75"/>
      <c r="AB86" s="75"/>
      <c r="AC86" s="75"/>
      <c r="AD86" s="75"/>
      <c r="AE86" s="75"/>
    </row>
    <row r="87" spans="1:31">
      <c r="A87" s="84" t="s">
        <v>492</v>
      </c>
      <c r="B87" s="84" t="s">
        <v>399</v>
      </c>
      <c r="C87" s="84" t="s">
        <v>30</v>
      </c>
      <c r="D87" s="84" t="s">
        <v>493</v>
      </c>
      <c r="E87" s="84" t="s">
        <v>145</v>
      </c>
      <c r="F87" s="84" t="s">
        <v>401</v>
      </c>
      <c r="G87" s="85" t="s">
        <v>402</v>
      </c>
      <c r="H87" s="84" t="s">
        <v>13</v>
      </c>
      <c r="I87" s="84" t="s">
        <v>90</v>
      </c>
      <c r="J87" s="86">
        <v>45797</v>
      </c>
      <c r="K87" s="86">
        <v>46285</v>
      </c>
      <c r="L87" s="86">
        <v>46333</v>
      </c>
      <c r="M87" s="84">
        <v>9</v>
      </c>
      <c r="N87" s="87"/>
      <c r="O87" s="84" t="s">
        <v>185</v>
      </c>
      <c r="P87" s="84" t="s">
        <v>494</v>
      </c>
      <c r="Q87" s="73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5"/>
      <c r="AC87" s="75"/>
      <c r="AD87" s="75"/>
      <c r="AE87" s="75"/>
    </row>
    <row r="88" spans="1:31">
      <c r="A88" s="84" t="s">
        <v>495</v>
      </c>
      <c r="B88" s="84" t="s">
        <v>208</v>
      </c>
      <c r="C88" s="84" t="s">
        <v>26</v>
      </c>
      <c r="D88" s="84" t="s">
        <v>496</v>
      </c>
      <c r="E88" s="84" t="s">
        <v>58</v>
      </c>
      <c r="F88" s="84" t="s">
        <v>210</v>
      </c>
      <c r="G88" s="85" t="s">
        <v>211</v>
      </c>
      <c r="H88" s="84" t="s">
        <v>39</v>
      </c>
      <c r="I88" s="84" t="s">
        <v>141</v>
      </c>
      <c r="J88" s="86">
        <v>45811</v>
      </c>
      <c r="K88" s="86">
        <v>46216</v>
      </c>
      <c r="L88" s="88"/>
      <c r="M88" s="84">
        <v>2</v>
      </c>
      <c r="N88" s="84" t="s">
        <v>20</v>
      </c>
      <c r="O88" s="84" t="s">
        <v>46</v>
      </c>
      <c r="P88" s="84" t="s">
        <v>494</v>
      </c>
      <c r="Q88" s="73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5"/>
      <c r="AC88" s="75"/>
      <c r="AD88" s="75"/>
      <c r="AE88" s="75"/>
    </row>
    <row r="89" spans="1:31">
      <c r="A89" s="84" t="s">
        <v>497</v>
      </c>
      <c r="B89" s="84" t="s">
        <v>346</v>
      </c>
      <c r="C89" s="84" t="s">
        <v>23</v>
      </c>
      <c r="D89" s="84" t="s">
        <v>498</v>
      </c>
      <c r="E89" s="84" t="s">
        <v>115</v>
      </c>
      <c r="F89" s="84" t="s">
        <v>348</v>
      </c>
      <c r="G89" s="84">
        <v>911176175442</v>
      </c>
      <c r="H89" s="84" t="s">
        <v>13</v>
      </c>
      <c r="I89" s="84" t="s">
        <v>90</v>
      </c>
      <c r="J89" s="86">
        <v>46292</v>
      </c>
      <c r="K89" s="86">
        <v>45970</v>
      </c>
      <c r="L89" s="86">
        <v>46290</v>
      </c>
      <c r="M89" s="84">
        <v>6</v>
      </c>
      <c r="N89" s="84" t="s">
        <v>27</v>
      </c>
      <c r="O89" s="84" t="s">
        <v>47</v>
      </c>
      <c r="P89" s="84" t="s">
        <v>494</v>
      </c>
      <c r="Q89" s="73"/>
      <c r="R89" s="75"/>
      <c r="S89" s="75"/>
      <c r="T89" s="75"/>
      <c r="U89" s="75"/>
      <c r="V89" s="75"/>
      <c r="W89" s="75"/>
      <c r="X89" s="75"/>
      <c r="Y89" s="75"/>
      <c r="Z89" s="75"/>
      <c r="AA89" s="75"/>
      <c r="AB89" s="75"/>
      <c r="AC89" s="75"/>
      <c r="AD89" s="75"/>
      <c r="AE89" s="75"/>
    </row>
    <row r="90" spans="1:31">
      <c r="A90" s="73"/>
      <c r="B90" s="73"/>
      <c r="C90" s="73"/>
      <c r="D90" s="73"/>
      <c r="E90" s="73"/>
      <c r="F90" s="73"/>
      <c r="G90" s="73"/>
      <c r="H90" s="73"/>
      <c r="I90" s="73"/>
      <c r="J90" s="74"/>
      <c r="K90" s="74"/>
      <c r="L90" s="74"/>
      <c r="M90" s="73"/>
      <c r="N90" s="73"/>
      <c r="O90" s="73"/>
      <c r="P90" s="73"/>
      <c r="Q90" s="73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  <c r="AC90" s="75"/>
      <c r="AD90" s="75"/>
      <c r="AE90" s="75"/>
    </row>
    <row r="91" spans="1:31">
      <c r="A91" s="75"/>
      <c r="B91" s="75"/>
      <c r="C91" s="75"/>
      <c r="D91" s="75"/>
      <c r="E91" s="75"/>
      <c r="F91" s="75"/>
      <c r="G91" s="75"/>
      <c r="H91" s="75"/>
      <c r="I91" s="75"/>
      <c r="J91" s="76"/>
      <c r="K91" s="76"/>
      <c r="L91" s="76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  <c r="AC91" s="75"/>
      <c r="AD91" s="75"/>
      <c r="AE91" s="75"/>
    </row>
    <row r="92" spans="1:31">
      <c r="A92" s="75"/>
      <c r="B92" s="75"/>
      <c r="C92" s="75"/>
      <c r="D92" s="75"/>
      <c r="E92" s="75"/>
      <c r="F92" s="75"/>
      <c r="G92" s="75"/>
      <c r="H92" s="75"/>
      <c r="I92" s="75"/>
      <c r="J92" s="76"/>
      <c r="K92" s="76"/>
      <c r="L92" s="76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  <c r="AC92" s="75"/>
      <c r="AD92" s="75"/>
      <c r="AE92" s="75"/>
    </row>
    <row r="93" spans="1:31">
      <c r="A93" s="75"/>
      <c r="B93" s="75"/>
      <c r="C93" s="75"/>
      <c r="D93" s="75"/>
      <c r="E93" s="75"/>
      <c r="F93" s="75"/>
      <c r="G93" s="75"/>
      <c r="H93" s="75"/>
      <c r="I93" s="75"/>
      <c r="J93" s="76"/>
      <c r="K93" s="76"/>
      <c r="L93" s="76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  <c r="AC93" s="75"/>
      <c r="AD93" s="75"/>
      <c r="AE93" s="75"/>
    </row>
    <row r="94" spans="1:31">
      <c r="A94" s="75"/>
      <c r="B94" s="75"/>
      <c r="C94" s="75"/>
      <c r="D94" s="75"/>
      <c r="E94" s="75"/>
      <c r="F94" s="75"/>
      <c r="G94" s="75"/>
      <c r="H94" s="75"/>
      <c r="I94" s="75"/>
      <c r="J94" s="76"/>
      <c r="K94" s="76"/>
      <c r="L94" s="76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  <c r="AC94" s="75"/>
      <c r="AD94" s="75"/>
      <c r="AE94" s="75"/>
    </row>
    <row r="95" spans="1:31">
      <c r="A95" s="75"/>
      <c r="B95" s="75"/>
      <c r="C95" s="75"/>
      <c r="D95" s="75"/>
      <c r="E95" s="75"/>
      <c r="F95" s="75"/>
      <c r="G95" s="75"/>
      <c r="H95" s="75"/>
      <c r="I95" s="75"/>
      <c r="J95" s="76"/>
      <c r="K95" s="76"/>
      <c r="L95" s="76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  <c r="AA95" s="75"/>
      <c r="AB95" s="75"/>
      <c r="AC95" s="75"/>
      <c r="AD95" s="75"/>
      <c r="AE95" s="75"/>
    </row>
    <row r="96" spans="1:31">
      <c r="A96" s="75"/>
      <c r="B96" s="75"/>
      <c r="C96" s="75"/>
      <c r="D96" s="75"/>
      <c r="E96" s="75"/>
      <c r="F96" s="75"/>
      <c r="G96" s="75"/>
      <c r="H96" s="75"/>
      <c r="I96" s="75"/>
      <c r="J96" s="76"/>
      <c r="K96" s="76"/>
      <c r="L96" s="76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75"/>
      <c r="AC96" s="75"/>
      <c r="AD96" s="75"/>
      <c r="AE96" s="75"/>
    </row>
    <row r="97" spans="1:31">
      <c r="A97" s="75"/>
      <c r="B97" s="75"/>
      <c r="C97" s="75"/>
      <c r="D97" s="75"/>
      <c r="E97" s="75"/>
      <c r="F97" s="75"/>
      <c r="G97" s="75"/>
      <c r="H97" s="75"/>
      <c r="I97" s="75"/>
      <c r="J97" s="76"/>
      <c r="K97" s="76"/>
      <c r="L97" s="76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5"/>
      <c r="AC97" s="75"/>
      <c r="AD97" s="75"/>
      <c r="AE97" s="75"/>
    </row>
    <row r="98" spans="1:31">
      <c r="A98" s="75"/>
      <c r="B98" s="75"/>
      <c r="C98" s="75"/>
      <c r="D98" s="75"/>
      <c r="E98" s="75"/>
      <c r="F98" s="75"/>
      <c r="G98" s="75"/>
      <c r="H98" s="75"/>
      <c r="I98" s="75"/>
      <c r="J98" s="76"/>
      <c r="K98" s="76"/>
      <c r="L98" s="76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  <c r="AC98" s="75"/>
      <c r="AD98" s="75"/>
      <c r="AE98" s="75"/>
    </row>
    <row r="99" spans="1:31">
      <c r="A99" s="75"/>
      <c r="B99" s="75"/>
      <c r="C99" s="75"/>
      <c r="D99" s="75"/>
      <c r="E99" s="75"/>
      <c r="F99" s="75"/>
      <c r="G99" s="75"/>
      <c r="H99" s="75"/>
      <c r="I99" s="75"/>
      <c r="J99" s="76"/>
      <c r="K99" s="76"/>
      <c r="L99" s="76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  <c r="AC99" s="75"/>
      <c r="AD99" s="75"/>
      <c r="AE99" s="75"/>
    </row>
    <row r="100" spans="1:31">
      <c r="A100" s="75"/>
      <c r="B100" s="75"/>
      <c r="C100" s="75"/>
      <c r="D100" s="75"/>
      <c r="E100" s="75"/>
      <c r="F100" s="75"/>
      <c r="G100" s="75"/>
      <c r="H100" s="75"/>
      <c r="I100" s="75"/>
      <c r="J100" s="76"/>
      <c r="K100" s="76"/>
      <c r="L100" s="76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  <c r="AC100" s="75"/>
      <c r="AD100" s="75"/>
      <c r="AE100" s="75"/>
    </row>
    <row r="101" spans="1:31">
      <c r="A101" s="75"/>
      <c r="B101" s="75"/>
      <c r="C101" s="75"/>
      <c r="D101" s="75"/>
      <c r="E101" s="75"/>
      <c r="F101" s="75"/>
      <c r="G101" s="75"/>
      <c r="H101" s="75"/>
      <c r="I101" s="75"/>
      <c r="J101" s="76"/>
      <c r="K101" s="76"/>
      <c r="L101" s="76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  <c r="AC101" s="75"/>
      <c r="AD101" s="75"/>
      <c r="AE101" s="75"/>
    </row>
    <row r="102" spans="1:31">
      <c r="A102" s="75"/>
      <c r="B102" s="75"/>
      <c r="C102" s="75"/>
      <c r="D102" s="75"/>
      <c r="E102" s="75"/>
      <c r="F102" s="75"/>
      <c r="G102" s="75"/>
      <c r="H102" s="75"/>
      <c r="I102" s="75"/>
      <c r="J102" s="76"/>
      <c r="K102" s="76"/>
      <c r="L102" s="76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  <c r="AB102" s="75"/>
      <c r="AC102" s="75"/>
      <c r="AD102" s="75"/>
      <c r="AE102" s="75"/>
    </row>
    <row r="103" spans="1:31">
      <c r="A103" s="75"/>
      <c r="B103" s="75"/>
      <c r="C103" s="75"/>
      <c r="D103" s="75"/>
      <c r="E103" s="75"/>
      <c r="F103" s="75"/>
      <c r="G103" s="75"/>
      <c r="H103" s="75"/>
      <c r="I103" s="75"/>
      <c r="J103" s="76"/>
      <c r="K103" s="76"/>
      <c r="L103" s="76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  <c r="AB103" s="75"/>
      <c r="AC103" s="75"/>
      <c r="AD103" s="75"/>
      <c r="AE103" s="75"/>
    </row>
    <row r="104" spans="1:31">
      <c r="A104" s="75"/>
      <c r="B104" s="75"/>
      <c r="C104" s="75"/>
      <c r="D104" s="75"/>
      <c r="E104" s="75"/>
      <c r="F104" s="75"/>
      <c r="G104" s="75"/>
      <c r="H104" s="75"/>
      <c r="I104" s="75"/>
      <c r="J104" s="76"/>
      <c r="K104" s="76"/>
      <c r="L104" s="76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  <c r="AD104" s="75"/>
      <c r="AE104" s="75"/>
    </row>
    <row r="105" spans="1:31">
      <c r="A105" s="75"/>
      <c r="B105" s="75"/>
      <c r="C105" s="75"/>
      <c r="D105" s="75"/>
      <c r="E105" s="75"/>
      <c r="F105" s="75"/>
      <c r="G105" s="75"/>
      <c r="H105" s="75"/>
      <c r="I105" s="75"/>
      <c r="J105" s="76"/>
      <c r="K105" s="76"/>
      <c r="L105" s="76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  <c r="AA105" s="75"/>
      <c r="AB105" s="75"/>
      <c r="AC105" s="75"/>
      <c r="AD105" s="75"/>
      <c r="AE105" s="75"/>
    </row>
    <row r="106" spans="1:31">
      <c r="A106" s="75"/>
      <c r="B106" s="75"/>
      <c r="C106" s="75"/>
      <c r="D106" s="75"/>
      <c r="E106" s="75"/>
      <c r="F106" s="75"/>
      <c r="G106" s="75"/>
      <c r="H106" s="75"/>
      <c r="I106" s="75"/>
      <c r="J106" s="76"/>
      <c r="K106" s="76"/>
      <c r="L106" s="76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  <c r="AC106" s="75"/>
      <c r="AD106" s="75"/>
      <c r="AE106" s="75"/>
    </row>
    <row r="107" spans="1:31">
      <c r="A107" s="75"/>
      <c r="B107" s="75"/>
      <c r="C107" s="75"/>
      <c r="D107" s="75"/>
      <c r="E107" s="75"/>
      <c r="F107" s="75"/>
      <c r="G107" s="75"/>
      <c r="H107" s="75"/>
      <c r="I107" s="75"/>
      <c r="J107" s="76"/>
      <c r="K107" s="76"/>
      <c r="L107" s="76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A107" s="75"/>
      <c r="AB107" s="75"/>
      <c r="AC107" s="75"/>
      <c r="AD107" s="75"/>
      <c r="AE107" s="75"/>
    </row>
    <row r="108" spans="1:31">
      <c r="A108" s="75"/>
      <c r="B108" s="75"/>
      <c r="C108" s="75"/>
      <c r="D108" s="75"/>
      <c r="E108" s="75"/>
      <c r="F108" s="75"/>
      <c r="G108" s="75"/>
      <c r="H108" s="75"/>
      <c r="I108" s="75"/>
      <c r="J108" s="76"/>
      <c r="K108" s="76"/>
      <c r="L108" s="76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75"/>
      <c r="AB108" s="75"/>
      <c r="AC108" s="75"/>
      <c r="AD108" s="75"/>
      <c r="AE108" s="75"/>
    </row>
    <row r="109" spans="1:31">
      <c r="A109" s="75"/>
      <c r="B109" s="75"/>
      <c r="C109" s="75"/>
      <c r="D109" s="75"/>
      <c r="E109" s="75"/>
      <c r="F109" s="75"/>
      <c r="G109" s="75"/>
      <c r="H109" s="75"/>
      <c r="I109" s="75"/>
      <c r="J109" s="76"/>
      <c r="K109" s="76"/>
      <c r="L109" s="76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  <c r="AA109" s="75"/>
      <c r="AB109" s="75"/>
      <c r="AC109" s="75"/>
      <c r="AD109" s="75"/>
      <c r="AE109" s="75"/>
    </row>
    <row r="110" spans="1:31">
      <c r="A110" s="75"/>
      <c r="B110" s="75"/>
      <c r="C110" s="75"/>
      <c r="D110" s="75"/>
      <c r="E110" s="75"/>
      <c r="F110" s="75"/>
      <c r="G110" s="75"/>
      <c r="H110" s="75"/>
      <c r="I110" s="75"/>
      <c r="J110" s="76"/>
      <c r="K110" s="76"/>
      <c r="L110" s="76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  <c r="AA110" s="75"/>
      <c r="AB110" s="75"/>
      <c r="AC110" s="75"/>
      <c r="AD110" s="75"/>
      <c r="AE110" s="75"/>
    </row>
    <row r="111" spans="1:31">
      <c r="A111" s="75"/>
      <c r="B111" s="75"/>
      <c r="C111" s="75"/>
      <c r="D111" s="75"/>
      <c r="E111" s="75"/>
      <c r="F111" s="75"/>
      <c r="G111" s="75"/>
      <c r="H111" s="75"/>
      <c r="I111" s="75"/>
      <c r="J111" s="76"/>
      <c r="K111" s="76"/>
      <c r="L111" s="76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  <c r="AA111" s="75"/>
      <c r="AB111" s="75"/>
      <c r="AC111" s="75"/>
      <c r="AD111" s="75"/>
      <c r="AE111" s="75"/>
    </row>
    <row r="112" spans="1:31">
      <c r="A112" s="75"/>
      <c r="B112" s="75"/>
      <c r="C112" s="75"/>
      <c r="D112" s="75"/>
      <c r="E112" s="75"/>
      <c r="F112" s="75"/>
      <c r="G112" s="75"/>
      <c r="H112" s="75"/>
      <c r="I112" s="75"/>
      <c r="J112" s="76"/>
      <c r="K112" s="76"/>
      <c r="L112" s="76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  <c r="AA112" s="75"/>
      <c r="AB112" s="75"/>
      <c r="AC112" s="75"/>
      <c r="AD112" s="75"/>
      <c r="AE112" s="75"/>
    </row>
    <row r="113" spans="1:31">
      <c r="A113" s="75"/>
      <c r="B113" s="75"/>
      <c r="C113" s="75"/>
      <c r="D113" s="75"/>
      <c r="E113" s="75"/>
      <c r="F113" s="75"/>
      <c r="G113" s="75"/>
      <c r="H113" s="75"/>
      <c r="I113" s="75"/>
      <c r="J113" s="76"/>
      <c r="K113" s="76"/>
      <c r="L113" s="76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  <c r="AA113" s="75"/>
      <c r="AB113" s="75"/>
      <c r="AC113" s="75"/>
      <c r="AD113" s="75"/>
      <c r="AE113" s="75"/>
    </row>
    <row r="114" spans="1:31">
      <c r="A114" s="75"/>
      <c r="B114" s="75"/>
      <c r="C114" s="75"/>
      <c r="D114" s="75"/>
      <c r="E114" s="75"/>
      <c r="F114" s="75"/>
      <c r="G114" s="75"/>
      <c r="H114" s="75"/>
      <c r="I114" s="75"/>
      <c r="J114" s="76"/>
      <c r="K114" s="76"/>
      <c r="L114" s="76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  <c r="AA114" s="75"/>
      <c r="AB114" s="75"/>
      <c r="AC114" s="75"/>
      <c r="AD114" s="75"/>
      <c r="AE114" s="75"/>
    </row>
    <row r="115" spans="1:31">
      <c r="A115" s="75"/>
      <c r="B115" s="75"/>
      <c r="C115" s="75"/>
      <c r="D115" s="75"/>
      <c r="E115" s="75"/>
      <c r="F115" s="75"/>
      <c r="G115" s="75"/>
      <c r="H115" s="75"/>
      <c r="I115" s="75"/>
      <c r="J115" s="76"/>
      <c r="K115" s="76"/>
      <c r="L115" s="76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  <c r="AA115" s="75"/>
      <c r="AB115" s="75"/>
      <c r="AC115" s="75"/>
      <c r="AD115" s="75"/>
      <c r="AE115" s="75"/>
    </row>
  </sheetData>
  <autoFilter ref="A1:P92" xr:uid="{08055161-7874-451D-877C-635FF00504B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60EE2-F362-4262-AC85-F6F6E02805C4}">
  <dimension ref="A1:G91"/>
  <sheetViews>
    <sheetView topLeftCell="A38" workbookViewId="0">
      <selection activeCell="D12" sqref="D12"/>
    </sheetView>
  </sheetViews>
  <sheetFormatPr defaultRowHeight="15"/>
  <cols>
    <col min="1" max="1" width="8" style="1" bestFit="1" customWidth="1"/>
    <col min="2" max="2" width="26" bestFit="1" customWidth="1"/>
    <col min="3" max="3" width="68" style="8" bestFit="1" customWidth="1"/>
    <col min="4" max="4" width="44.85546875" bestFit="1" customWidth="1"/>
    <col min="5" max="5" width="83" bestFit="1" customWidth="1"/>
    <col min="6" max="6" width="57" bestFit="1" customWidth="1"/>
    <col min="7" max="7" width="92.140625" bestFit="1" customWidth="1"/>
  </cols>
  <sheetData>
    <row r="1" spans="1:7">
      <c r="A1" s="9" t="s">
        <v>499</v>
      </c>
      <c r="B1" s="10" t="s">
        <v>500</v>
      </c>
      <c r="C1" s="10" t="s">
        <v>501</v>
      </c>
      <c r="D1" s="11" t="s">
        <v>502</v>
      </c>
      <c r="E1" s="11" t="s">
        <v>503</v>
      </c>
      <c r="F1" s="11" t="s">
        <v>504</v>
      </c>
      <c r="G1" s="11" t="s">
        <v>505</v>
      </c>
    </row>
    <row r="2" spans="1:7">
      <c r="A2" s="2" t="s">
        <v>506</v>
      </c>
      <c r="B2" s="89" t="s">
        <v>42</v>
      </c>
      <c r="C2" s="90">
        <v>61</v>
      </c>
      <c r="D2" s="4" t="s">
        <v>42</v>
      </c>
      <c r="E2" s="4" t="s">
        <v>507</v>
      </c>
      <c r="F2" s="4" t="s">
        <v>27</v>
      </c>
      <c r="G2" s="4" t="s">
        <v>508</v>
      </c>
    </row>
    <row r="3" spans="1:7">
      <c r="A3" s="2" t="s">
        <v>509</v>
      </c>
      <c r="B3" s="89" t="s">
        <v>42</v>
      </c>
      <c r="C3" s="90">
        <v>64</v>
      </c>
      <c r="D3" s="4" t="s">
        <v>42</v>
      </c>
      <c r="E3" s="4" t="s">
        <v>507</v>
      </c>
      <c r="F3" s="4" t="s">
        <v>27</v>
      </c>
      <c r="G3" s="4" t="s">
        <v>508</v>
      </c>
    </row>
    <row r="4" spans="1:7">
      <c r="A4" s="2" t="s">
        <v>510</v>
      </c>
      <c r="B4" s="89" t="s">
        <v>511</v>
      </c>
      <c r="C4" s="90" t="s">
        <v>512</v>
      </c>
      <c r="D4" s="4" t="s">
        <v>42</v>
      </c>
      <c r="E4" s="4" t="s">
        <v>513</v>
      </c>
      <c r="F4" s="4" t="s">
        <v>27</v>
      </c>
      <c r="G4" s="4" t="s">
        <v>514</v>
      </c>
    </row>
    <row r="5" spans="1:7">
      <c r="A5" s="2" t="s">
        <v>515</v>
      </c>
      <c r="B5" s="89" t="s">
        <v>511</v>
      </c>
      <c r="C5" s="90" t="s">
        <v>516</v>
      </c>
      <c r="D5" s="4" t="s">
        <v>42</v>
      </c>
      <c r="E5" s="4" t="s">
        <v>517</v>
      </c>
      <c r="F5" s="4" t="s">
        <v>27</v>
      </c>
      <c r="G5" s="4" t="s">
        <v>518</v>
      </c>
    </row>
    <row r="6" spans="1:7">
      <c r="A6" s="2" t="s">
        <v>519</v>
      </c>
      <c r="B6" s="89" t="s">
        <v>511</v>
      </c>
      <c r="C6" s="90" t="s">
        <v>520</v>
      </c>
      <c r="D6" s="4" t="s">
        <v>42</v>
      </c>
      <c r="E6" s="4" t="s">
        <v>521</v>
      </c>
      <c r="F6" s="4" t="s">
        <v>27</v>
      </c>
      <c r="G6" s="4" t="s">
        <v>514</v>
      </c>
    </row>
    <row r="7" spans="1:7">
      <c r="A7" s="2" t="s">
        <v>522</v>
      </c>
      <c r="B7" s="89" t="s">
        <v>511</v>
      </c>
      <c r="C7" s="90" t="s">
        <v>523</v>
      </c>
      <c r="D7" s="4" t="s">
        <v>42</v>
      </c>
      <c r="E7" s="4" t="s">
        <v>524</v>
      </c>
      <c r="F7" s="4" t="s">
        <v>27</v>
      </c>
      <c r="G7" s="4" t="s">
        <v>514</v>
      </c>
    </row>
    <row r="8" spans="1:7">
      <c r="A8" s="2" t="s">
        <v>525</v>
      </c>
      <c r="B8" s="89" t="s">
        <v>526</v>
      </c>
      <c r="C8" s="90">
        <v>2</v>
      </c>
      <c r="D8" s="4" t="s">
        <v>43</v>
      </c>
      <c r="E8" s="4" t="s">
        <v>527</v>
      </c>
      <c r="F8" s="4" t="s">
        <v>24</v>
      </c>
      <c r="G8" s="4" t="s">
        <v>528</v>
      </c>
    </row>
    <row r="9" spans="1:7">
      <c r="A9" s="2" t="s">
        <v>529</v>
      </c>
      <c r="B9" s="89" t="s">
        <v>526</v>
      </c>
      <c r="C9" s="90">
        <v>3</v>
      </c>
      <c r="D9" s="4" t="s">
        <v>43</v>
      </c>
      <c r="E9" s="4" t="s">
        <v>530</v>
      </c>
      <c r="F9" s="4" t="s">
        <v>20</v>
      </c>
      <c r="G9" s="4" t="s">
        <v>531</v>
      </c>
    </row>
    <row r="10" spans="1:7">
      <c r="A10" s="2" t="s">
        <v>532</v>
      </c>
      <c r="B10" s="89" t="s">
        <v>526</v>
      </c>
      <c r="C10" s="90">
        <v>22</v>
      </c>
      <c r="D10" s="4" t="s">
        <v>43</v>
      </c>
      <c r="E10" s="4" t="s">
        <v>533</v>
      </c>
      <c r="F10" s="4" t="s">
        <v>20</v>
      </c>
      <c r="G10" s="4" t="s">
        <v>531</v>
      </c>
    </row>
    <row r="11" spans="1:7">
      <c r="A11" s="5" t="s">
        <v>534</v>
      </c>
      <c r="B11" s="4" t="s">
        <v>526</v>
      </c>
      <c r="C11" s="7">
        <v>90</v>
      </c>
      <c r="D11" s="4" t="s">
        <v>43</v>
      </c>
      <c r="E11" s="4" t="s">
        <v>535</v>
      </c>
      <c r="F11" s="4" t="s">
        <v>20</v>
      </c>
      <c r="G11" s="4" t="s">
        <v>531</v>
      </c>
    </row>
    <row r="12" spans="1:7">
      <c r="A12" s="5" t="s">
        <v>536</v>
      </c>
      <c r="B12" s="4" t="s">
        <v>526</v>
      </c>
      <c r="C12" s="7">
        <v>92</v>
      </c>
      <c r="D12" s="4" t="s">
        <v>43</v>
      </c>
      <c r="E12" s="4" t="s">
        <v>537</v>
      </c>
      <c r="F12" s="4" t="s">
        <v>20</v>
      </c>
      <c r="G12" s="4" t="s">
        <v>538</v>
      </c>
    </row>
    <row r="13" spans="1:7">
      <c r="A13" s="5" t="s">
        <v>539</v>
      </c>
      <c r="B13" s="4" t="s">
        <v>540</v>
      </c>
      <c r="C13" s="7">
        <v>4</v>
      </c>
      <c r="D13" s="4" t="s">
        <v>11</v>
      </c>
      <c r="E13" s="4" t="s">
        <v>507</v>
      </c>
      <c r="F13" s="4" t="s">
        <v>27</v>
      </c>
      <c r="G13" s="4" t="s">
        <v>541</v>
      </c>
    </row>
    <row r="14" spans="1:7">
      <c r="A14" s="5" t="s">
        <v>542</v>
      </c>
      <c r="B14" s="4" t="s">
        <v>540</v>
      </c>
      <c r="C14" s="7">
        <v>18</v>
      </c>
      <c r="D14" s="4" t="s">
        <v>11</v>
      </c>
      <c r="E14" s="4" t="s">
        <v>507</v>
      </c>
      <c r="F14" s="4" t="s">
        <v>27</v>
      </c>
      <c r="G14" s="4" t="s">
        <v>541</v>
      </c>
    </row>
    <row r="15" spans="1:7">
      <c r="A15" s="5" t="s">
        <v>543</v>
      </c>
      <c r="B15" s="4" t="s">
        <v>540</v>
      </c>
      <c r="C15" s="7">
        <v>22</v>
      </c>
      <c r="D15" s="4" t="s">
        <v>11</v>
      </c>
      <c r="E15" s="4" t="s">
        <v>507</v>
      </c>
      <c r="F15" s="4" t="s">
        <v>27</v>
      </c>
      <c r="G15" s="4" t="s">
        <v>541</v>
      </c>
    </row>
    <row r="16" spans="1:7">
      <c r="A16" s="6" t="s">
        <v>544</v>
      </c>
      <c r="B16" s="4" t="s">
        <v>540</v>
      </c>
      <c r="C16" s="7">
        <v>44</v>
      </c>
      <c r="D16" s="4" t="s">
        <v>11</v>
      </c>
      <c r="E16" s="4" t="s">
        <v>507</v>
      </c>
      <c r="F16" s="4" t="s">
        <v>27</v>
      </c>
      <c r="G16" s="4" t="s">
        <v>541</v>
      </c>
    </row>
    <row r="17" spans="1:7">
      <c r="A17" s="5" t="s">
        <v>545</v>
      </c>
      <c r="B17" s="4" t="s">
        <v>540</v>
      </c>
      <c r="C17" s="7">
        <v>72</v>
      </c>
      <c r="D17" s="4" t="s">
        <v>11</v>
      </c>
      <c r="E17" s="4" t="s">
        <v>507</v>
      </c>
      <c r="F17" s="4" t="s">
        <v>27</v>
      </c>
      <c r="G17" s="4" t="s">
        <v>541</v>
      </c>
    </row>
    <row r="18" spans="1:7">
      <c r="A18" s="5" t="s">
        <v>546</v>
      </c>
      <c r="B18" s="4" t="s">
        <v>547</v>
      </c>
      <c r="C18" s="7" t="s">
        <v>548</v>
      </c>
      <c r="D18" s="4" t="s">
        <v>11</v>
      </c>
      <c r="E18" s="4" t="s">
        <v>549</v>
      </c>
      <c r="F18" s="4" t="s">
        <v>24</v>
      </c>
      <c r="G18" s="4" t="s">
        <v>550</v>
      </c>
    </row>
    <row r="19" spans="1:7">
      <c r="A19" s="5" t="s">
        <v>551</v>
      </c>
      <c r="B19" s="4" t="s">
        <v>547</v>
      </c>
      <c r="C19" s="7">
        <v>37</v>
      </c>
      <c r="D19" s="4" t="s">
        <v>11</v>
      </c>
      <c r="E19" s="4" t="s">
        <v>552</v>
      </c>
      <c r="F19" s="4" t="s">
        <v>24</v>
      </c>
      <c r="G19" s="4" t="s">
        <v>553</v>
      </c>
    </row>
    <row r="20" spans="1:7">
      <c r="A20" s="6" t="s">
        <v>554</v>
      </c>
      <c r="B20" s="4" t="s">
        <v>547</v>
      </c>
      <c r="C20" s="7" t="s">
        <v>555</v>
      </c>
      <c r="D20" s="4" t="s">
        <v>11</v>
      </c>
      <c r="E20" s="4" t="s">
        <v>556</v>
      </c>
      <c r="F20" s="4" t="s">
        <v>24</v>
      </c>
      <c r="G20" s="4" t="s">
        <v>557</v>
      </c>
    </row>
    <row r="21" spans="1:7">
      <c r="A21" s="5" t="s">
        <v>558</v>
      </c>
      <c r="B21" s="4" t="s">
        <v>547</v>
      </c>
      <c r="C21" s="7" t="s">
        <v>559</v>
      </c>
      <c r="D21" s="4" t="s">
        <v>11</v>
      </c>
      <c r="E21" s="4" t="s">
        <v>560</v>
      </c>
      <c r="F21" s="4" t="s">
        <v>24</v>
      </c>
      <c r="G21" s="4" t="s">
        <v>561</v>
      </c>
    </row>
    <row r="22" spans="1:7">
      <c r="A22" s="5" t="s">
        <v>562</v>
      </c>
      <c r="B22" s="4" t="s">
        <v>563</v>
      </c>
      <c r="C22" s="7">
        <v>46</v>
      </c>
      <c r="D22" s="4" t="s">
        <v>11</v>
      </c>
      <c r="E22" s="4" t="s">
        <v>564</v>
      </c>
      <c r="F22" s="4" t="s">
        <v>27</v>
      </c>
      <c r="G22" s="4" t="s">
        <v>565</v>
      </c>
    </row>
    <row r="23" spans="1:7">
      <c r="A23" s="5" t="s">
        <v>566</v>
      </c>
      <c r="B23" s="4" t="s">
        <v>563</v>
      </c>
      <c r="C23" s="7">
        <v>83</v>
      </c>
      <c r="D23" s="4" t="s">
        <v>11</v>
      </c>
      <c r="E23" s="4" t="s">
        <v>567</v>
      </c>
      <c r="F23" s="4" t="s">
        <v>27</v>
      </c>
      <c r="G23" s="4" t="s">
        <v>565</v>
      </c>
    </row>
    <row r="24" spans="1:7">
      <c r="A24" s="5" t="s">
        <v>568</v>
      </c>
      <c r="B24" s="4" t="s">
        <v>569</v>
      </c>
      <c r="C24" s="7">
        <v>26</v>
      </c>
      <c r="D24" s="4" t="s">
        <v>44</v>
      </c>
      <c r="E24" s="4" t="s">
        <v>570</v>
      </c>
      <c r="F24" s="4" t="s">
        <v>20</v>
      </c>
      <c r="G24" s="4" t="s">
        <v>571</v>
      </c>
    </row>
    <row r="25" spans="1:7">
      <c r="A25" s="5" t="s">
        <v>572</v>
      </c>
      <c r="B25" s="4" t="s">
        <v>569</v>
      </c>
      <c r="C25" s="7">
        <v>59</v>
      </c>
      <c r="D25" s="4" t="s">
        <v>44</v>
      </c>
      <c r="E25" s="4" t="s">
        <v>573</v>
      </c>
      <c r="F25" s="4" t="s">
        <v>20</v>
      </c>
      <c r="G25" s="4" t="s">
        <v>571</v>
      </c>
    </row>
    <row r="26" spans="1:7">
      <c r="A26" s="5" t="s">
        <v>574</v>
      </c>
      <c r="B26" s="4" t="s">
        <v>569</v>
      </c>
      <c r="C26" s="7">
        <v>65</v>
      </c>
      <c r="D26" s="4" t="s">
        <v>44</v>
      </c>
      <c r="E26" s="4" t="s">
        <v>575</v>
      </c>
      <c r="F26" s="4" t="s">
        <v>20</v>
      </c>
      <c r="G26" s="4" t="s">
        <v>571</v>
      </c>
    </row>
    <row r="27" spans="1:7">
      <c r="A27" s="5" t="s">
        <v>576</v>
      </c>
      <c r="B27" s="4" t="s">
        <v>569</v>
      </c>
      <c r="C27" s="7">
        <v>67</v>
      </c>
      <c r="D27" s="4" t="s">
        <v>44</v>
      </c>
      <c r="E27" s="4" t="s">
        <v>577</v>
      </c>
      <c r="F27" s="4" t="s">
        <v>20</v>
      </c>
      <c r="G27" s="4" t="s">
        <v>571</v>
      </c>
    </row>
    <row r="28" spans="1:7">
      <c r="A28" s="5" t="s">
        <v>578</v>
      </c>
      <c r="B28" s="4" t="s">
        <v>569</v>
      </c>
      <c r="C28" s="7">
        <v>83</v>
      </c>
      <c r="D28" s="4" t="s">
        <v>44</v>
      </c>
      <c r="E28" s="4" t="s">
        <v>579</v>
      </c>
      <c r="F28" s="4" t="s">
        <v>20</v>
      </c>
      <c r="G28" s="4" t="s">
        <v>571</v>
      </c>
    </row>
    <row r="29" spans="1:7">
      <c r="A29" s="5" t="s">
        <v>580</v>
      </c>
      <c r="B29" s="4" t="s">
        <v>569</v>
      </c>
      <c r="C29" s="7">
        <v>86</v>
      </c>
      <c r="D29" s="4" t="s">
        <v>44</v>
      </c>
      <c r="E29" s="4" t="s">
        <v>577</v>
      </c>
      <c r="F29" s="4" t="s">
        <v>20</v>
      </c>
      <c r="G29" s="4" t="s">
        <v>571</v>
      </c>
    </row>
    <row r="30" spans="1:7">
      <c r="A30" s="5" t="s">
        <v>581</v>
      </c>
      <c r="B30" s="4" t="s">
        <v>28</v>
      </c>
      <c r="C30" s="7" t="s">
        <v>582</v>
      </c>
      <c r="D30" s="4" t="s">
        <v>583</v>
      </c>
      <c r="E30" s="4" t="s">
        <v>507</v>
      </c>
      <c r="F30" s="4" t="s">
        <v>27</v>
      </c>
      <c r="G30" s="4" t="s">
        <v>584</v>
      </c>
    </row>
    <row r="31" spans="1:7">
      <c r="A31" s="6" t="s">
        <v>585</v>
      </c>
      <c r="B31" s="4" t="s">
        <v>32</v>
      </c>
      <c r="C31" s="7" t="s">
        <v>586</v>
      </c>
      <c r="D31" s="4" t="s">
        <v>46</v>
      </c>
      <c r="E31" s="4" t="s">
        <v>507</v>
      </c>
      <c r="F31" s="4" t="s">
        <v>27</v>
      </c>
      <c r="G31" s="4" t="s">
        <v>587</v>
      </c>
    </row>
    <row r="32" spans="1:7">
      <c r="A32" s="5" t="s">
        <v>588</v>
      </c>
      <c r="B32" s="4" t="s">
        <v>589</v>
      </c>
      <c r="C32" s="7">
        <v>34</v>
      </c>
      <c r="D32" s="4" t="s">
        <v>46</v>
      </c>
      <c r="E32" s="4" t="s">
        <v>250</v>
      </c>
      <c r="F32" s="4" t="s">
        <v>27</v>
      </c>
      <c r="G32" s="4" t="s">
        <v>590</v>
      </c>
    </row>
    <row r="33" spans="1:7">
      <c r="A33" s="6" t="s">
        <v>591</v>
      </c>
      <c r="B33" s="4" t="s">
        <v>589</v>
      </c>
      <c r="C33" s="7">
        <v>50</v>
      </c>
      <c r="D33" s="4" t="s">
        <v>46</v>
      </c>
      <c r="E33" s="4" t="s">
        <v>329</v>
      </c>
      <c r="F33" s="4" t="s">
        <v>27</v>
      </c>
      <c r="G33" s="4" t="s">
        <v>592</v>
      </c>
    </row>
    <row r="34" spans="1:7">
      <c r="A34" s="5" t="s">
        <v>593</v>
      </c>
      <c r="B34" s="4" t="s">
        <v>589</v>
      </c>
      <c r="C34" s="7">
        <v>64</v>
      </c>
      <c r="D34" s="4" t="s">
        <v>46</v>
      </c>
      <c r="E34" s="4" t="s">
        <v>393</v>
      </c>
      <c r="F34" s="4" t="s">
        <v>27</v>
      </c>
      <c r="G34" s="4" t="s">
        <v>592</v>
      </c>
    </row>
    <row r="35" spans="1:7">
      <c r="A35" s="5" t="s">
        <v>594</v>
      </c>
      <c r="B35" s="4" t="s">
        <v>589</v>
      </c>
      <c r="C35" s="7">
        <v>65</v>
      </c>
      <c r="D35" s="4" t="s">
        <v>46</v>
      </c>
      <c r="E35" s="4" t="s">
        <v>396</v>
      </c>
      <c r="F35" s="4" t="s">
        <v>27</v>
      </c>
      <c r="G35" s="4" t="s">
        <v>590</v>
      </c>
    </row>
    <row r="36" spans="1:7">
      <c r="A36" s="5" t="s">
        <v>595</v>
      </c>
      <c r="B36" s="4" t="s">
        <v>589</v>
      </c>
      <c r="C36" s="7">
        <v>67</v>
      </c>
      <c r="D36" s="4" t="s">
        <v>46</v>
      </c>
      <c r="E36" s="4" t="s">
        <v>406</v>
      </c>
      <c r="F36" s="4" t="s">
        <v>27</v>
      </c>
      <c r="G36" s="4" t="s">
        <v>592</v>
      </c>
    </row>
    <row r="37" spans="1:7">
      <c r="A37" s="6" t="s">
        <v>596</v>
      </c>
      <c r="B37" s="4" t="s">
        <v>589</v>
      </c>
      <c r="C37" s="7">
        <v>68</v>
      </c>
      <c r="D37" s="4" t="s">
        <v>46</v>
      </c>
      <c r="E37" s="4" t="s">
        <v>411</v>
      </c>
      <c r="F37" s="4" t="s">
        <v>27</v>
      </c>
      <c r="G37" s="4" t="s">
        <v>592</v>
      </c>
    </row>
    <row r="38" spans="1:7">
      <c r="A38" s="5" t="s">
        <v>597</v>
      </c>
      <c r="B38" s="4" t="s">
        <v>589</v>
      </c>
      <c r="C38" s="7">
        <v>86</v>
      </c>
      <c r="D38" s="4" t="s">
        <v>46</v>
      </c>
      <c r="E38" s="4" t="s">
        <v>406</v>
      </c>
      <c r="F38" s="4" t="s">
        <v>27</v>
      </c>
      <c r="G38" s="4" t="s">
        <v>592</v>
      </c>
    </row>
    <row r="39" spans="1:7">
      <c r="A39" s="5" t="s">
        <v>598</v>
      </c>
      <c r="B39" s="4" t="s">
        <v>599</v>
      </c>
      <c r="C39" s="7" t="s">
        <v>600</v>
      </c>
      <c r="D39" s="4" t="s">
        <v>601</v>
      </c>
      <c r="E39" s="4" t="s">
        <v>602</v>
      </c>
      <c r="F39" s="4" t="s">
        <v>27</v>
      </c>
      <c r="G39" s="4" t="s">
        <v>603</v>
      </c>
    </row>
    <row r="40" spans="1:7">
      <c r="A40" s="5" t="s">
        <v>604</v>
      </c>
      <c r="B40" s="4" t="s">
        <v>35</v>
      </c>
      <c r="C40" s="7" t="s">
        <v>605</v>
      </c>
      <c r="D40" s="4" t="s">
        <v>47</v>
      </c>
      <c r="E40" s="4" t="s">
        <v>507</v>
      </c>
      <c r="F40" s="4" t="s">
        <v>27</v>
      </c>
      <c r="G40" s="4" t="s">
        <v>606</v>
      </c>
    </row>
    <row r="41" spans="1:7">
      <c r="A41" s="5" t="s">
        <v>607</v>
      </c>
      <c r="B41" s="4" t="s">
        <v>608</v>
      </c>
      <c r="C41" s="7">
        <v>10</v>
      </c>
      <c r="D41" s="4" t="s">
        <v>47</v>
      </c>
      <c r="E41" s="4" t="s">
        <v>116</v>
      </c>
      <c r="F41" s="4" t="s">
        <v>27</v>
      </c>
      <c r="G41" s="4" t="s">
        <v>609</v>
      </c>
    </row>
    <row r="42" spans="1:7">
      <c r="A42" s="5" t="s">
        <v>610</v>
      </c>
      <c r="B42" s="4" t="s">
        <v>608</v>
      </c>
      <c r="C42" s="7">
        <v>26</v>
      </c>
      <c r="D42" s="4" t="s">
        <v>47</v>
      </c>
      <c r="E42" s="4" t="s">
        <v>206</v>
      </c>
      <c r="F42" s="4" t="s">
        <v>27</v>
      </c>
      <c r="G42" s="4" t="s">
        <v>609</v>
      </c>
    </row>
    <row r="43" spans="1:7">
      <c r="A43" s="6" t="s">
        <v>611</v>
      </c>
      <c r="B43" s="4" t="s">
        <v>612</v>
      </c>
      <c r="C43" s="7">
        <v>42</v>
      </c>
      <c r="D43" s="4" t="s">
        <v>47</v>
      </c>
      <c r="E43" s="4">
        <v>1157094098</v>
      </c>
      <c r="F43" s="4" t="s">
        <v>24</v>
      </c>
      <c r="G43" s="4" t="s">
        <v>613</v>
      </c>
    </row>
    <row r="44" spans="1:7">
      <c r="A44" s="5" t="s">
        <v>614</v>
      </c>
      <c r="B44" s="4" t="s">
        <v>608</v>
      </c>
      <c r="C44" s="7">
        <v>45</v>
      </c>
      <c r="D44" s="4" t="s">
        <v>47</v>
      </c>
      <c r="E44" s="4">
        <v>911177617</v>
      </c>
      <c r="F44" s="4" t="s">
        <v>27</v>
      </c>
      <c r="G44" s="4" t="s">
        <v>609</v>
      </c>
    </row>
    <row r="45" spans="1:7">
      <c r="A45" s="5" t="s">
        <v>615</v>
      </c>
      <c r="B45" s="4" t="s">
        <v>608</v>
      </c>
      <c r="C45" s="7">
        <v>66</v>
      </c>
      <c r="D45" s="4" t="s">
        <v>47</v>
      </c>
      <c r="E45" s="4" t="s">
        <v>402</v>
      </c>
      <c r="F45" s="4" t="s">
        <v>27</v>
      </c>
      <c r="G45" s="4" t="s">
        <v>609</v>
      </c>
    </row>
    <row r="46" spans="1:7">
      <c r="A46" s="5" t="s">
        <v>616</v>
      </c>
      <c r="B46" s="4" t="s">
        <v>608</v>
      </c>
      <c r="C46" s="7">
        <v>90</v>
      </c>
      <c r="D46" s="4" t="s">
        <v>47</v>
      </c>
      <c r="E46" s="4" t="s">
        <v>402</v>
      </c>
      <c r="F46" s="4" t="s">
        <v>27</v>
      </c>
      <c r="G46" s="4" t="s">
        <v>609</v>
      </c>
    </row>
    <row r="47" spans="1:7">
      <c r="A47" s="6" t="s">
        <v>617</v>
      </c>
      <c r="B47" s="4" t="s">
        <v>618</v>
      </c>
      <c r="C47" s="7" t="s">
        <v>619</v>
      </c>
      <c r="D47" s="4" t="s">
        <v>620</v>
      </c>
      <c r="E47" s="4" t="s">
        <v>621</v>
      </c>
      <c r="F47" s="4" t="s">
        <v>20</v>
      </c>
      <c r="G47" s="4" t="s">
        <v>622</v>
      </c>
    </row>
    <row r="48" spans="1:7">
      <c r="A48" s="5" t="s">
        <v>623</v>
      </c>
      <c r="B48" s="4" t="s">
        <v>618</v>
      </c>
      <c r="C48" s="7" t="s">
        <v>624</v>
      </c>
      <c r="D48" s="4" t="s">
        <v>620</v>
      </c>
      <c r="E48" s="4" t="s">
        <v>625</v>
      </c>
      <c r="F48" s="4" t="s">
        <v>24</v>
      </c>
      <c r="G48" s="4" t="s">
        <v>626</v>
      </c>
    </row>
    <row r="49" spans="1:7">
      <c r="A49" s="5" t="s">
        <v>627</v>
      </c>
      <c r="B49" s="4" t="s">
        <v>618</v>
      </c>
      <c r="C49" s="7">
        <v>31</v>
      </c>
      <c r="D49" s="4" t="s">
        <v>620</v>
      </c>
      <c r="E49" s="4" t="s">
        <v>628</v>
      </c>
      <c r="F49" s="4" t="s">
        <v>20</v>
      </c>
      <c r="G49" s="4" t="s">
        <v>629</v>
      </c>
    </row>
    <row r="50" spans="1:7">
      <c r="A50" s="5" t="s">
        <v>630</v>
      </c>
      <c r="B50" s="4" t="s">
        <v>618</v>
      </c>
      <c r="C50" s="7" t="s">
        <v>631</v>
      </c>
      <c r="D50" s="4" t="s">
        <v>620</v>
      </c>
      <c r="E50" s="4" t="s">
        <v>632</v>
      </c>
      <c r="F50" s="4" t="s">
        <v>24</v>
      </c>
      <c r="G50" s="4" t="s">
        <v>629</v>
      </c>
    </row>
    <row r="51" spans="1:7">
      <c r="A51" s="5" t="s">
        <v>633</v>
      </c>
      <c r="B51" s="4" t="s">
        <v>618</v>
      </c>
      <c r="C51" s="7">
        <v>34</v>
      </c>
      <c r="D51" s="4" t="s">
        <v>620</v>
      </c>
      <c r="E51" s="4" t="s">
        <v>252</v>
      </c>
      <c r="F51" s="4" t="s">
        <v>20</v>
      </c>
      <c r="G51" s="4" t="s">
        <v>634</v>
      </c>
    </row>
    <row r="52" spans="1:7">
      <c r="A52" s="5" t="s">
        <v>635</v>
      </c>
      <c r="B52" s="4" t="s">
        <v>618</v>
      </c>
      <c r="C52" s="7">
        <v>41</v>
      </c>
      <c r="D52" s="4" t="s">
        <v>620</v>
      </c>
      <c r="E52" s="4" t="s">
        <v>287</v>
      </c>
      <c r="F52" s="4" t="s">
        <v>20</v>
      </c>
      <c r="G52" s="4" t="s">
        <v>636</v>
      </c>
    </row>
    <row r="53" spans="1:7">
      <c r="A53" s="12" t="s">
        <v>637</v>
      </c>
      <c r="B53" s="4" t="s">
        <v>618</v>
      </c>
      <c r="C53" s="7" t="s">
        <v>638</v>
      </c>
      <c r="D53" s="4" t="s">
        <v>620</v>
      </c>
      <c r="E53" s="4" t="s">
        <v>364</v>
      </c>
      <c r="F53" s="4" t="s">
        <v>20</v>
      </c>
      <c r="G53" s="4" t="s">
        <v>639</v>
      </c>
    </row>
    <row r="54" spans="1:7">
      <c r="A54" s="5" t="s">
        <v>640</v>
      </c>
      <c r="B54" s="4" t="s">
        <v>618</v>
      </c>
      <c r="C54" s="7">
        <v>70</v>
      </c>
      <c r="D54" s="4" t="s">
        <v>620</v>
      </c>
      <c r="E54" s="4" t="s">
        <v>422</v>
      </c>
      <c r="F54" s="4" t="s">
        <v>20</v>
      </c>
      <c r="G54" s="4" t="s">
        <v>641</v>
      </c>
    </row>
    <row r="55" spans="1:7">
      <c r="A55" s="6" t="s">
        <v>642</v>
      </c>
      <c r="B55" s="4" t="s">
        <v>643</v>
      </c>
      <c r="C55" s="7">
        <v>12</v>
      </c>
      <c r="D55" s="4" t="s">
        <v>49</v>
      </c>
      <c r="E55" s="4" t="s">
        <v>644</v>
      </c>
      <c r="F55" s="4" t="s">
        <v>24</v>
      </c>
      <c r="G55" s="4" t="s">
        <v>645</v>
      </c>
    </row>
    <row r="56" spans="1:7">
      <c r="A56" s="5" t="s">
        <v>646</v>
      </c>
      <c r="B56" s="4" t="s">
        <v>643</v>
      </c>
      <c r="C56" s="7">
        <v>34</v>
      </c>
      <c r="D56" s="4" t="s">
        <v>647</v>
      </c>
      <c r="E56" s="4" t="s">
        <v>644</v>
      </c>
      <c r="F56" s="4" t="s">
        <v>24</v>
      </c>
      <c r="G56" s="4" t="s">
        <v>645</v>
      </c>
    </row>
    <row r="57" spans="1:7">
      <c r="A57" s="5" t="s">
        <v>648</v>
      </c>
      <c r="B57" s="4" t="s">
        <v>643</v>
      </c>
      <c r="C57" s="7">
        <v>43</v>
      </c>
      <c r="D57" s="4" t="s">
        <v>50</v>
      </c>
      <c r="E57" s="4" t="s">
        <v>644</v>
      </c>
      <c r="F57" s="4" t="s">
        <v>24</v>
      </c>
      <c r="G57" s="4" t="s">
        <v>645</v>
      </c>
    </row>
    <row r="58" spans="1:7">
      <c r="A58" s="5" t="s">
        <v>649</v>
      </c>
      <c r="B58" s="4" t="s">
        <v>643</v>
      </c>
      <c r="C58" s="7">
        <v>51</v>
      </c>
      <c r="D58" s="4" t="s">
        <v>49</v>
      </c>
      <c r="E58" s="4" t="s">
        <v>644</v>
      </c>
      <c r="F58" s="4" t="s">
        <v>24</v>
      </c>
      <c r="G58" s="4" t="s">
        <v>645</v>
      </c>
    </row>
    <row r="59" spans="1:7">
      <c r="A59" s="6" t="s">
        <v>650</v>
      </c>
      <c r="B59" s="4" t="s">
        <v>643</v>
      </c>
      <c r="C59" s="7">
        <v>72</v>
      </c>
      <c r="D59" s="4" t="s">
        <v>50</v>
      </c>
      <c r="E59" s="4" t="s">
        <v>644</v>
      </c>
      <c r="F59" s="4" t="s">
        <v>24</v>
      </c>
      <c r="G59" s="4" t="s">
        <v>645</v>
      </c>
    </row>
    <row r="60" spans="1:7">
      <c r="A60" s="5" t="s">
        <v>651</v>
      </c>
      <c r="B60" s="4" t="s">
        <v>643</v>
      </c>
      <c r="C60" s="7">
        <v>80</v>
      </c>
      <c r="D60" s="4" t="s">
        <v>647</v>
      </c>
      <c r="E60" s="4" t="s">
        <v>644</v>
      </c>
      <c r="F60" s="4" t="s">
        <v>24</v>
      </c>
      <c r="G60" s="4" t="s">
        <v>645</v>
      </c>
    </row>
    <row r="61" spans="1:7">
      <c r="A61" s="5" t="s">
        <v>652</v>
      </c>
      <c r="B61" s="4" t="s">
        <v>643</v>
      </c>
      <c r="C61" s="7">
        <v>82</v>
      </c>
      <c r="D61" s="4" t="s">
        <v>49</v>
      </c>
      <c r="E61" s="4" t="s">
        <v>644</v>
      </c>
      <c r="F61" s="4" t="s">
        <v>24</v>
      </c>
      <c r="G61" s="4" t="s">
        <v>645</v>
      </c>
    </row>
    <row r="62" spans="1:7">
      <c r="A62" s="5" t="s">
        <v>653</v>
      </c>
      <c r="B62" s="4" t="s">
        <v>643</v>
      </c>
      <c r="C62" s="7">
        <v>83</v>
      </c>
      <c r="D62" s="4" t="s">
        <v>50</v>
      </c>
      <c r="E62" s="4" t="s">
        <v>644</v>
      </c>
      <c r="F62" s="4" t="s">
        <v>24</v>
      </c>
      <c r="G62" s="4" t="s">
        <v>645</v>
      </c>
    </row>
    <row r="63" spans="1:7">
      <c r="A63" s="6" t="s">
        <v>654</v>
      </c>
      <c r="B63" s="4" t="s">
        <v>655</v>
      </c>
      <c r="C63" s="7">
        <v>39</v>
      </c>
      <c r="D63" s="4" t="s">
        <v>656</v>
      </c>
      <c r="E63" s="4" t="s">
        <v>657</v>
      </c>
      <c r="F63" s="4" t="s">
        <v>27</v>
      </c>
      <c r="G63" s="4" t="s">
        <v>658</v>
      </c>
    </row>
    <row r="64" spans="1:7">
      <c r="A64" s="6" t="s">
        <v>659</v>
      </c>
      <c r="B64" s="4" t="s">
        <v>655</v>
      </c>
      <c r="C64" s="7">
        <v>47</v>
      </c>
      <c r="D64" s="4" t="s">
        <v>660</v>
      </c>
      <c r="E64" s="4" t="s">
        <v>661</v>
      </c>
      <c r="F64" s="4" t="s">
        <v>27</v>
      </c>
      <c r="G64" s="4" t="s">
        <v>662</v>
      </c>
    </row>
    <row r="65" spans="1:7">
      <c r="A65" s="6" t="s">
        <v>663</v>
      </c>
      <c r="B65" s="4" t="s">
        <v>655</v>
      </c>
      <c r="C65" s="7">
        <v>54</v>
      </c>
      <c r="D65" s="4" t="s">
        <v>664</v>
      </c>
      <c r="E65" s="4" t="s">
        <v>665</v>
      </c>
      <c r="F65" s="4" t="s">
        <v>27</v>
      </c>
      <c r="G65" s="4" t="s">
        <v>666</v>
      </c>
    </row>
    <row r="66" spans="1:7">
      <c r="A66" s="6" t="s">
        <v>667</v>
      </c>
      <c r="B66" s="4" t="s">
        <v>655</v>
      </c>
      <c r="C66" s="7">
        <v>56</v>
      </c>
      <c r="D66" s="4" t="s">
        <v>660</v>
      </c>
      <c r="E66" s="4" t="s">
        <v>668</v>
      </c>
      <c r="F66" s="4" t="s">
        <v>27</v>
      </c>
      <c r="G66" s="4" t="s">
        <v>662</v>
      </c>
    </row>
    <row r="67" spans="1:7">
      <c r="A67" s="6" t="s">
        <v>669</v>
      </c>
      <c r="B67" s="4" t="s">
        <v>655</v>
      </c>
      <c r="C67" s="7">
        <v>62</v>
      </c>
      <c r="D67" s="4" t="s">
        <v>656</v>
      </c>
      <c r="E67" s="4" t="s">
        <v>670</v>
      </c>
      <c r="F67" s="4" t="s">
        <v>27</v>
      </c>
      <c r="G67" s="4" t="s">
        <v>671</v>
      </c>
    </row>
    <row r="68" spans="1:7">
      <c r="A68" s="6" t="s">
        <v>672</v>
      </c>
      <c r="B68" s="4" t="s">
        <v>655</v>
      </c>
      <c r="C68" s="7">
        <v>79</v>
      </c>
      <c r="D68" s="4" t="s">
        <v>660</v>
      </c>
      <c r="E68" s="4" t="s">
        <v>673</v>
      </c>
      <c r="F68" s="4" t="s">
        <v>27</v>
      </c>
      <c r="G68" s="4" t="s">
        <v>662</v>
      </c>
    </row>
    <row r="69" spans="1:7">
      <c r="A69" s="6" t="s">
        <v>674</v>
      </c>
      <c r="B69" s="4" t="s">
        <v>655</v>
      </c>
      <c r="C69" s="7">
        <v>92</v>
      </c>
      <c r="D69" s="4" t="s">
        <v>664</v>
      </c>
      <c r="E69" s="4" t="s">
        <v>665</v>
      </c>
      <c r="F69" s="4" t="s">
        <v>27</v>
      </c>
      <c r="G69" s="4" t="s">
        <v>666</v>
      </c>
    </row>
    <row r="70" spans="1:7">
      <c r="A70" s="6" t="s">
        <v>675</v>
      </c>
      <c r="B70" s="4" t="s">
        <v>676</v>
      </c>
      <c r="C70" s="7">
        <v>15</v>
      </c>
      <c r="D70" s="4" t="s">
        <v>50</v>
      </c>
      <c r="E70" s="4" t="s">
        <v>677</v>
      </c>
      <c r="F70" s="4" t="s">
        <v>27</v>
      </c>
      <c r="G70" s="4" t="s">
        <v>678</v>
      </c>
    </row>
    <row r="71" spans="1:7">
      <c r="A71" s="6" t="s">
        <v>679</v>
      </c>
      <c r="B71" s="4" t="s">
        <v>676</v>
      </c>
      <c r="C71" s="7">
        <v>39</v>
      </c>
      <c r="D71" s="4" t="s">
        <v>50</v>
      </c>
      <c r="E71" s="4" t="s">
        <v>680</v>
      </c>
      <c r="F71" s="4" t="s">
        <v>27</v>
      </c>
      <c r="G71" s="4" t="s">
        <v>678</v>
      </c>
    </row>
    <row r="72" spans="1:7">
      <c r="A72" s="6" t="s">
        <v>681</v>
      </c>
      <c r="B72" s="4" t="s">
        <v>676</v>
      </c>
      <c r="C72" s="7">
        <v>62</v>
      </c>
      <c r="D72" s="4" t="s">
        <v>50</v>
      </c>
      <c r="E72" s="4" t="s">
        <v>682</v>
      </c>
      <c r="F72" s="4" t="s">
        <v>27</v>
      </c>
      <c r="G72" s="4" t="s">
        <v>678</v>
      </c>
    </row>
    <row r="73" spans="1:7">
      <c r="A73" s="6" t="s">
        <v>683</v>
      </c>
      <c r="B73" s="4" t="s">
        <v>684</v>
      </c>
      <c r="C73" s="7" t="s">
        <v>685</v>
      </c>
      <c r="D73" s="4" t="s">
        <v>52</v>
      </c>
      <c r="E73" s="4" t="s">
        <v>507</v>
      </c>
      <c r="F73" s="4" t="s">
        <v>24</v>
      </c>
      <c r="G73" s="4" t="s">
        <v>686</v>
      </c>
    </row>
    <row r="74" spans="1:7">
      <c r="A74" s="6" t="s">
        <v>687</v>
      </c>
      <c r="B74" s="4" t="s">
        <v>688</v>
      </c>
      <c r="C74" s="7">
        <v>71</v>
      </c>
      <c r="D74" s="4" t="s">
        <v>52</v>
      </c>
      <c r="E74" s="4">
        <v>-3</v>
      </c>
      <c r="F74" s="4" t="s">
        <v>27</v>
      </c>
      <c r="G74" s="4" t="s">
        <v>689</v>
      </c>
    </row>
    <row r="75" spans="1:7">
      <c r="A75" s="6" t="s">
        <v>690</v>
      </c>
      <c r="B75" s="4" t="s">
        <v>691</v>
      </c>
      <c r="C75" s="7">
        <v>7</v>
      </c>
      <c r="D75" s="4" t="s">
        <v>692</v>
      </c>
      <c r="E75" s="4" t="s">
        <v>693</v>
      </c>
      <c r="F75" s="4" t="s">
        <v>27</v>
      </c>
      <c r="G75" s="4" t="s">
        <v>694</v>
      </c>
    </row>
    <row r="76" spans="1:7">
      <c r="A76" s="6" t="s">
        <v>695</v>
      </c>
      <c r="B76" s="4" t="s">
        <v>691</v>
      </c>
      <c r="C76" s="7">
        <v>29</v>
      </c>
      <c r="D76" s="4" t="s">
        <v>692</v>
      </c>
      <c r="E76" s="4" t="s">
        <v>696</v>
      </c>
      <c r="F76" s="4" t="s">
        <v>27</v>
      </c>
      <c r="G76" s="4" t="s">
        <v>694</v>
      </c>
    </row>
    <row r="77" spans="1:7">
      <c r="A77" s="6" t="s">
        <v>697</v>
      </c>
      <c r="B77" s="4" t="s">
        <v>691</v>
      </c>
      <c r="C77" s="7">
        <v>75</v>
      </c>
      <c r="D77" s="4" t="s">
        <v>692</v>
      </c>
      <c r="E77" s="4" t="s">
        <v>698</v>
      </c>
      <c r="F77" s="4" t="s">
        <v>27</v>
      </c>
      <c r="G77" s="4" t="s">
        <v>694</v>
      </c>
    </row>
    <row r="78" spans="1:7">
      <c r="A78" s="6" t="s">
        <v>699</v>
      </c>
      <c r="B78" s="4" t="s">
        <v>700</v>
      </c>
      <c r="C78" s="7">
        <v>23</v>
      </c>
      <c r="D78" s="4" t="s">
        <v>701</v>
      </c>
      <c r="E78" s="4" t="s">
        <v>702</v>
      </c>
      <c r="F78" s="4" t="s">
        <v>27</v>
      </c>
      <c r="G78" s="4" t="s">
        <v>703</v>
      </c>
    </row>
    <row r="79" spans="1:7">
      <c r="A79" s="6" t="s">
        <v>704</v>
      </c>
      <c r="B79" s="4" t="s">
        <v>705</v>
      </c>
      <c r="C79" s="7">
        <v>35</v>
      </c>
      <c r="D79" s="4" t="s">
        <v>706</v>
      </c>
      <c r="E79" s="4" t="s">
        <v>707</v>
      </c>
      <c r="F79" s="4" t="s">
        <v>27</v>
      </c>
      <c r="G79" s="4" t="s">
        <v>708</v>
      </c>
    </row>
    <row r="80" spans="1:7">
      <c r="A80" s="6" t="s">
        <v>709</v>
      </c>
      <c r="B80" s="4" t="s">
        <v>705</v>
      </c>
      <c r="C80" s="7">
        <v>51</v>
      </c>
      <c r="D80" s="4" t="s">
        <v>706</v>
      </c>
      <c r="E80" s="4" t="s">
        <v>710</v>
      </c>
      <c r="F80" s="4" t="s">
        <v>27</v>
      </c>
      <c r="G80" s="4" t="s">
        <v>708</v>
      </c>
    </row>
    <row r="81" spans="1:7">
      <c r="A81" s="6" t="s">
        <v>711</v>
      </c>
      <c r="B81" s="4" t="s">
        <v>712</v>
      </c>
      <c r="C81" s="7">
        <v>48</v>
      </c>
      <c r="D81" s="4" t="s">
        <v>701</v>
      </c>
      <c r="E81" s="4" t="s">
        <v>713</v>
      </c>
      <c r="F81" s="4" t="s">
        <v>27</v>
      </c>
      <c r="G81" s="4" t="s">
        <v>714</v>
      </c>
    </row>
    <row r="82" spans="1:7">
      <c r="A82" s="6" t="s">
        <v>715</v>
      </c>
      <c r="B82" s="4" t="s">
        <v>712</v>
      </c>
      <c r="C82" s="7">
        <v>63</v>
      </c>
      <c r="D82" s="4" t="s">
        <v>701</v>
      </c>
      <c r="E82" s="4" t="s">
        <v>716</v>
      </c>
      <c r="F82" s="4" t="s">
        <v>27</v>
      </c>
      <c r="G82" s="4" t="s">
        <v>714</v>
      </c>
    </row>
    <row r="83" spans="1:7">
      <c r="A83" s="6" t="s">
        <v>717</v>
      </c>
      <c r="B83" s="4" t="s">
        <v>25</v>
      </c>
      <c r="C83" s="7" t="s">
        <v>718</v>
      </c>
      <c r="D83" s="4" t="s">
        <v>16</v>
      </c>
      <c r="E83" s="4" t="s">
        <v>507</v>
      </c>
      <c r="F83" s="4" t="s">
        <v>27</v>
      </c>
      <c r="G83" s="4" t="s">
        <v>719</v>
      </c>
    </row>
    <row r="84" spans="1:7">
      <c r="A84" s="6" t="s">
        <v>720</v>
      </c>
      <c r="B84" s="4" t="s">
        <v>721</v>
      </c>
      <c r="C84" s="7" t="s">
        <v>722</v>
      </c>
      <c r="D84" s="4" t="s">
        <v>53</v>
      </c>
      <c r="E84" s="4" t="s">
        <v>723</v>
      </c>
      <c r="F84" s="4" t="s">
        <v>24</v>
      </c>
      <c r="G84" s="4" t="s">
        <v>724</v>
      </c>
    </row>
    <row r="85" spans="1:7">
      <c r="A85" s="6" t="s">
        <v>725</v>
      </c>
      <c r="B85" s="4" t="s">
        <v>726</v>
      </c>
      <c r="C85" s="7" t="s">
        <v>722</v>
      </c>
      <c r="D85" s="4" t="s">
        <v>54</v>
      </c>
      <c r="E85" s="4" t="s">
        <v>727</v>
      </c>
      <c r="F85" s="4" t="s">
        <v>20</v>
      </c>
      <c r="G85" s="4" t="s">
        <v>728</v>
      </c>
    </row>
    <row r="86" spans="1:7">
      <c r="A86" s="6" t="s">
        <v>729</v>
      </c>
      <c r="B86" s="4" t="s">
        <v>730</v>
      </c>
      <c r="C86" s="7" t="s">
        <v>731</v>
      </c>
      <c r="D86" s="4" t="s">
        <v>732</v>
      </c>
      <c r="E86" s="4" t="s">
        <v>733</v>
      </c>
      <c r="F86" s="4" t="s">
        <v>27</v>
      </c>
      <c r="G86" s="4" t="s">
        <v>734</v>
      </c>
    </row>
    <row r="87" spans="1:7">
      <c r="A87" s="6" t="s">
        <v>735</v>
      </c>
      <c r="B87" s="4" t="s">
        <v>730</v>
      </c>
      <c r="C87" s="7" t="s">
        <v>736</v>
      </c>
      <c r="D87" s="4" t="s">
        <v>732</v>
      </c>
      <c r="E87" s="4" t="s">
        <v>737</v>
      </c>
      <c r="F87" s="4" t="s">
        <v>27</v>
      </c>
      <c r="G87" s="4" t="s">
        <v>734</v>
      </c>
    </row>
    <row r="88" spans="1:7">
      <c r="A88" s="6" t="s">
        <v>738</v>
      </c>
      <c r="B88" s="4" t="s">
        <v>730</v>
      </c>
      <c r="C88" s="7" t="s">
        <v>739</v>
      </c>
      <c r="D88" s="4" t="s">
        <v>732</v>
      </c>
      <c r="E88" s="4" t="s">
        <v>740</v>
      </c>
      <c r="F88" s="4" t="s">
        <v>27</v>
      </c>
      <c r="G88" s="4" t="s">
        <v>734</v>
      </c>
    </row>
    <row r="89" spans="1:7">
      <c r="A89" s="6" t="s">
        <v>741</v>
      </c>
      <c r="B89" s="4" t="s">
        <v>742</v>
      </c>
      <c r="C89" s="7" t="s">
        <v>743</v>
      </c>
      <c r="D89" s="4" t="s">
        <v>744</v>
      </c>
      <c r="E89" s="4" t="s">
        <v>745</v>
      </c>
      <c r="F89" s="4" t="s">
        <v>24</v>
      </c>
      <c r="G89" s="4" t="s">
        <v>746</v>
      </c>
    </row>
    <row r="90" spans="1:7">
      <c r="A90" s="6" t="s">
        <v>747</v>
      </c>
      <c r="B90" s="4" t="s">
        <v>748</v>
      </c>
      <c r="C90" s="7" t="s">
        <v>743</v>
      </c>
      <c r="D90" s="4" t="s">
        <v>749</v>
      </c>
      <c r="E90" s="4" t="s">
        <v>750</v>
      </c>
      <c r="F90" s="4" t="s">
        <v>24</v>
      </c>
      <c r="G90" s="4" t="s">
        <v>751</v>
      </c>
    </row>
    <row r="91" spans="1:7">
      <c r="A91" s="6" t="s">
        <v>752</v>
      </c>
      <c r="B91" s="4" t="s">
        <v>753</v>
      </c>
      <c r="C91" s="7" t="s">
        <v>743</v>
      </c>
      <c r="D91" s="4" t="s">
        <v>754</v>
      </c>
      <c r="E91" s="4" t="s">
        <v>755</v>
      </c>
      <c r="F91" s="4" t="s">
        <v>756</v>
      </c>
      <c r="G91" s="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Shruti Gupta</cp:lastModifiedBy>
  <cp:revision/>
  <dcterms:created xsi:type="dcterms:W3CDTF">2026-10-06T10:58:33Z</dcterms:created>
  <dcterms:modified xsi:type="dcterms:W3CDTF">2026-10-06T17:37:26Z</dcterms:modified>
  <cp:category/>
  <cp:contentStatus/>
</cp:coreProperties>
</file>